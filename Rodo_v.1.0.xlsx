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ndPKow\Projects\RODO\"/>
    </mc:Choice>
  </mc:AlternateContent>
  <xr:revisionPtr revIDLastSave="0" documentId="13_ncr:1_{B2D6DD59-EA83-499D-97C4-0EEA33D8B093}" xr6:coauthVersionLast="47" xr6:coauthVersionMax="47" xr10:uidLastSave="{00000000-0000-0000-0000-000000000000}"/>
  <bookViews>
    <workbookView xWindow="28680" yWindow="-120" windowWidth="29040" windowHeight="15720" tabRatio="814" xr2:uid="{FBB01077-E039-4B2A-AC12-14ED746644EE}"/>
  </bookViews>
  <sheets>
    <sheet name="Pomoc" sheetId="24" r:id="rId1"/>
    <sheet name="Zgodność" sheetId="11" r:id="rId2"/>
    <sheet name="Dokumenty" sheetId="5" r:id="rId3"/>
    <sheet name="Informacje" sheetId="3" r:id="rId4"/>
    <sheet name="Dziennik" sheetId="23" r:id="rId5"/>
    <sheet name="RCP" sheetId="4" r:id="rId6"/>
    <sheet name="AROD" sheetId="6" r:id="rId7"/>
    <sheet name="RNOD" sheetId="8" r:id="rId8"/>
    <sheet name="KDPIA" sheetId="36" r:id="rId9"/>
    <sheet name="DPIA" sheetId="9" r:id="rId10"/>
    <sheet name="WUDM" sheetId="13" r:id="rId11"/>
    <sheet name="Upoważnienia" sheetId="17" r:id="rId12"/>
    <sheet name="UPOxRCP" sheetId="25" r:id="rId13"/>
    <sheet name="Procesorzy" sheetId="18" r:id="rId14"/>
    <sheet name="PROCxRCP" sheetId="29" r:id="rId15"/>
    <sheet name="Współadministratorzy" sheetId="21" r:id="rId16"/>
    <sheet name="ADMxRCP" sheetId="28" r:id="rId17"/>
    <sheet name="Systemy" sheetId="20" r:id="rId18"/>
    <sheet name="SYSxRCP" sheetId="27" r:id="rId19"/>
    <sheet name="Zabezpieczenia" sheetId="34" r:id="rId20"/>
    <sheet name="Konfiguracja" sheetId="32" r:id="rId21"/>
    <sheet name="Czynności" sheetId="19" r:id="rId22"/>
    <sheet name="Zdarzenia" sheetId="31" r:id="rId23"/>
    <sheet name="Ryzyka" sheetId="7" r:id="rId24"/>
  </sheets>
  <definedNames>
    <definedName name="arr\Dict.Actions">tab\Dict.KCP[Nazwa]</definedName>
    <definedName name="arr\Dict.Admins">tab\Dict.ADM[Nazwa]</definedName>
    <definedName name="arr\Dict.Authorizations">tab\Dict.UPO[Nazwa]</definedName>
    <definedName name="arr\Dict.Documents">tab\DOCS[Dokument]</definedName>
    <definedName name="arr\Dict.Documents.Internal">INDEX(tab\DOCS[HLP_INT],1):INDEX(tab\DOCS[HLP_INT],COUNTIF(tab\DOCS[HLP_INT],"?*"))</definedName>
    <definedName name="arr\Dict.Events.Data">INDEX(tab\Dict.EVNT[HLP_DAT],1):INDEX(tab\Dict.EVNT[HLP_DAT],COUNTIF(tab\Dict.EVNT[HLP_DAT],"?*"))</definedName>
    <definedName name="arr\Dict.Events.Security">INDEX(tab\Dict.EVNT[HLP_SEC],1):INDEX(tab\Dict.EVNT[HLP_SEC],COUNTIF(tab\Dict.EVNT[HLP_SEC],"?*"))</definedName>
    <definedName name="arr\Dict.Processing">tab\RCP[Nazwa czynności przetwarzania]</definedName>
    <definedName name="arr\Dict.Processors">tab\Dict.PROC[Nazwa]</definedName>
    <definedName name="arr\Dict.Systems">tab\Dict.SYS[Nazwa]</definedName>
    <definedName name="arr\Security">tab\Dict.SEC[Zabezpieczenie]</definedName>
    <definedName name="rng\Area">INDEX(tab\CFG[Value],MATCH("rng\Area",tab\CFG[Key],0)):INDEX(tab\CFG[Value],MATCH("rng\Area",tab\CFG[Key],0)+COUNTIF(tab\CFG[Key],"rng\Area")-1)</definedName>
    <definedName name="rng\Breach">INDEX(tab\CFG[Value],MATCH("rng\Breach",tab\CFG[Key],0)):INDEX(tab\CFG[Value],MATCH("rng\Breach",tab\CFG[Key],0)+COUNTIF(tab\CFG[Key],"rng\Breach")-1)</definedName>
    <definedName name="rng\Breach.Status">INDEX(tab\CFG[Value],MATCH("rng\Breach.Status",tab\CFG[Key],0)):INDEX(tab\CFG[Value],MATCH("rng\Breach.Status",tab\CFG[Key],0)+COUNTIF(tab\CFG[Key],"rng\Breach.Status")-1)</definedName>
    <definedName name="rng\Choice.YesNo">INDEX(tab\CFG[Value],MATCH("rng\Choice.YesNo",tab\CFG[Key],0)):INDEX(tab\CFG[Value],MATCH("rng\Choice.YesNo",tab\CFG[Key],0)+COUNTIF(tab\CFG[Key],"rng\Choice.YesNo")-1)</definedName>
    <definedName name="rng\Choice.YesNoNA">INDEX(tab\CFG[Value],MATCH("rng\Choice.YesNoNA",tab\CFG[Key],0)):INDEX(tab\CFG[Value],MATCH("rng\Choice.YesNoNA",tab\CFG[Key],0)+COUNTIF(tab\CFG[Key],"rng\Choice.YesNoNA")-1)</definedName>
    <definedName name="rng\Compliance.Type">INDEX(tab\CFG[Value],MATCH("rng\Compliance.Type",tab\CFG[Key],0)):INDEX(tab\CFG[Value],MATCH("rng\Compliance.Type",tab\CFG[Key],0)+COUNTIF(tab\CFG[Key],"rng\Compliance.Type")-1)</definedName>
    <definedName name="rng\Document.Class">INDEX(tab\CFG[Value],MATCH("rng\Document.Class",tab\CFG[Key],0)):INDEX(tab\CFG[Value],MATCH("rng\Document.Class",tab\CFG[Key],0)+COUNTIF(tab\CFG[Key],"rng\Document.Class")-1)</definedName>
    <definedName name="rng\Document.Location">INDEX(tab\CFG[Value],MATCH("rng\Document.Location",tab\CFG[Key],0)):INDEX(tab\CFG[Value],MATCH("rng\Document.Location",tab\CFG[Key],0)+COUNTIF(tab\CFG[Key],"rng\Document.Location")-1)</definedName>
    <definedName name="rng\Document.Type">INDEX(tab\CFG[Value],MATCH("rng\Document.Type",tab\CFG[Key],0)):INDEX(tab\CFG[Value],MATCH("rng\Document.Type",tab\CFG[Key],0)+COUNTIF(tab\CFG[Key],"rng\Document.Type")-1)</definedName>
    <definedName name="rng\DPIA">INDEX(tab\CFG[Value],MATCH("rng\DPIA",tab\CFG[Key],0)):INDEX(tab\CFG[Value],MATCH("rng\DPIA",tab\CFG[Key],0)+COUNTIF(tab\CFG[Key],"rng\DPIA")-1)</definedName>
    <definedName name="rng\Receiver.Mode">INDEX(tab\CFG[Value],MATCH("rng\Receiver.Mode",tab\CFG[Key],0)):INDEX(tab\CFG[Value],MATCH("rng\Receiver.Mode",tab\CFG[Key],0)+COUNTIF(tab\CFG[Key],"rng\Receiver.Mode")-1)</definedName>
    <definedName name="rng\Receiver.Scope">INDEX(tab\CFG[Value],MATCH("rng\Receiver.Scope",tab\CFG[Key],0)):INDEX(tab\CFG[Value],MATCH("rng\Receiver.Scope",tab\CFG[Key],0)+COUNTIF(tab\CFG[Key],"rng\Receiver.Scope")-1)</definedName>
    <definedName name="rng\Receiver.Type">INDEX(tab\CFG[Value],MATCH("rng\Receiver.Type",tab\CFG[Key],0)):INDEX(tab\CFG[Value],MATCH("rng\Receiver.Type",tab\CFG[Key],0)+COUNTIF(tab\CFG[Key],"rng\Receiver.Type")-1)</definedName>
    <definedName name="rng\Risk.Acceptance">INDEX(tab\CFG[Value],MATCH("rng\Risk.Acceptance",tab\CFG[Key],0)):INDEX(tab\CFG[Value],MATCH("rng\Risk.Acceptance",tab\CFG[Key],0)+COUNTIF(tab\CFG[Key],"rng\Risk.Acceptance")-1)</definedName>
    <definedName name="rng\Risk.Areas">INDEX(tab\CFG[Value],MATCH("rng\Risk.Areas",tab\CFG[Key],0)):INDEX(tab\CFG[Value],MATCH("rng\Risk.Areas",tab\CFG[Key],0)+COUNTIF(tab\CFG[Key],"rng\Risk.Areas")-1)</definedName>
    <definedName name="rng\Risk.AssessmentLevel">INDEX(tab\CFG[Value],MATCH("rng\Risk.AssessmentLevel",tab\CFG[Key],0)):INDEX(tab\CFG[Value],MATCH("rng\Risk.AssessmentLevel",tab\CFG[Key],0)+COUNTIF(tab\CFG[Key],"rng\Risk.AssessmentLevel")-1)</definedName>
    <definedName name="rng\Risk.Level">INDEX(tab\CFG[Value],MATCH("rng\Risk.Level",tab\CFG[Key],0)):INDEX(tab\CFG[Value],MATCH("rng\Risk.Level",tab\CFG[Key],0)+COUNTIF(tab\CFG[Key],"rng\Risk.Level")-1)</definedName>
    <definedName name="rng\Risk.Probability">INDEX(tab\CFG[Value],MATCH("rng\Risk.Probability",tab\CFG[Key],0)):INDEX(tab\CFG[Value],MATCH("rng\Risk.Probability",tab\CFG[Key],0)+COUNTIF(tab\CFG[Key],"rng\Risk.Probability")-1)</definedName>
    <definedName name="rng\Risk.Strategy">INDEX(tab\CFG[Value],MATCH("rng\Risk.Strategy",tab\CFG[Key],0)):INDEX(tab\CFG[Value],MATCH("rng\Risk.Strategy",tab\CFG[Key],0)+COUNTIF(tab\CFG[Key],"rng\Risk.Strategy")-1)</definedName>
    <definedName name="rng\Role">INDEX(tab\CFG[Value],MATCH("rng\Role",tab\CFG[Key],0)):INDEX(tab\CFG[Value],MATCH("rng\Role",tab\CFG[Key],0)+COUNTIF(tab\CFG[Key],"rng\Role")-1)</definedName>
    <definedName name="rng\Role.Status">INDEX(tab\CFG[Value],MATCH("rng\Role.Status",tab\CFG[Key],0)):INDEX(tab\CFG[Value],MATCH("rng\Role.Status",tab\CFG[Key],0)+COUNTIF(tab\CFG[Key],"rng\Role.Status")-1)</definedName>
    <definedName name="rng\Schedule">INDEX(tab\CFG[Value],MATCH("rng\Schedule",tab\CFG[Key],0)):INDEX(tab\CFG[Value],MATCH("rng\Schedule",tab\CFG[Key],0)+COUNTIF(tab\CFG[Key],"rng\Schedule")-1)</definedName>
    <definedName name="rng\Schedule.Status">INDEX(tab\CFG[Value],MATCH("rng\Schedule.Status",tab\CFG[Key],0)):INDEX(tab\CFG[Value],MATCH("rng\Schedule.Status",tab\CFG[Key],0)+COUNTIF(tab\CFG[Key],"rng\Schedule.Status")-1)</definedName>
    <definedName name="rng\Security.Areas">INDEX(tab\CFG[Value],MATCH("rng\Security.Areas",tab\CFG[Key],0)):INDEX(tab\CFG[Value],MATCH("rng\Security.Areas",tab\CFG[Key],0)+COUNTIF(tab\CFG[Key],"rng\Security.Areas")-1)</definedName>
    <definedName name="rng\Symbol.OkNo">INDEX(tab\CFG[Value],MATCH("rng\Symbol.OkNo",tab\CFG[Key],0)):INDEX(tab\CFG[Value],MATCH("rng\Symbol.OkNo",tab\CFG[Key],0)+COUNTIF(tab\CFG[Key],"rng\Symbol.OkNo")-1)</definedName>
    <definedName name="rng\Symbol.OkNoE">INDEX(tab\CFG[Value],MATCH("rng\Symbol.OkNoE",tab\CFG[Key],0)):INDEX(tab\CFG[Value],MATCH("rng\Symbol.OkNoE",tab\CFG[Key],0)+COUNTIF(tab\CFG[Key],"rng\Symbol.OkNoE")-1)</definedName>
    <definedName name="var\Application.Compatibility">INDEX(tab\CFG[Value],MATCH("var\Application.Compatibility",tab\CFG[Key],0)):INDEX(tab\CFG[Value],MATCH("var\Application.Compatibility",tab\CFG[Key],0)+COUNTIF(tab\CFG[Key],"var\Application.Compatibility")-1)</definedName>
    <definedName name="var\Application.Date">INDEX(tab\CFG[Value],MATCH("var\Application.Date",tab\CFG[Key],0)):INDEX(tab\CFG[Value],MATCH("var\Application.Date",tab\CFG[Key],0)+COUNTIF(tab\CFG[Key],"var\Application.Date")-1)</definedName>
    <definedName name="var\Application.Name">INDEX(tab\CFG[Value],MATCH("var\Application.Name",tab\CFG[Key],0)):INDEX(tab\CFG[Value],MATCH("var\Application.Name",tab\CFG[Key],0)+COUNTIF(tab\CFG[Key],"var\Application.Name")-1)</definedName>
    <definedName name="var\Application.Version">INDEX(tab\CFG[Value],MATCH("var\Application.Version",tab\CFG[Key],0)):INDEX(tab\CFG[Value],MATCH("var\Application.Version",tab\CFG[Key],0)+COUNTIF(tab\CFG[Key],"var\Application.Version")-1)</definedName>
    <definedName name="var\Symbol.Causes">INDEX(tab\CFG[Value],MATCH("var\Symbol.Causes",tab\CFG[Key],0)):INDEX(tab\CFG[Value],MATCH("var\Symbol.Causes",tab\CFG[Key],0)+COUNTIF(tab\CFG[Key],"var\Symbol.Causes")-1)</definedName>
    <definedName name="var\Symbol.NoData">INDEX(tab\CFG[Value],MATCH("var\Symbol.NoData",tab\CFG[Key],0)):INDEX(tab\CFG[Value],MATCH("var\Symbol.NoData",tab\CFG[Key],0)+COUNTIF(tab\CFG[Key],"var\Symbol.NoData")-1)</definedName>
    <definedName name="var\Symbol.NotApplicable">INDEX(tab\CFG[Value],MATCH("var\Symbol.NotApplicable",tab\CFG[Key],0)):INDEX(tab\CFG[Value],MATCH("var\Symbol.NotApplicable",tab\CFG[Key],0)+COUNTIF(tab\CFG[Key],"var\Symbol.NotApplicable")-1)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5" l="1" a="1"/>
  <c r="F32" i="5" a="1"/>
  <c r="H32" i="5" a="1"/>
  <c r="E31" i="5" a="1"/>
  <c r="F31" i="5" a="1"/>
  <c r="H31" i="5" a="1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H69" i="32"/>
  <c r="H70" i="32"/>
  <c r="H71" i="32"/>
  <c r="H72" i="32"/>
  <c r="H73" i="32"/>
  <c r="H74" i="32"/>
  <c r="H75" i="32"/>
  <c r="H76" i="32"/>
  <c r="H77" i="32"/>
  <c r="H78" i="32"/>
  <c r="H79" i="32"/>
  <c r="H80" i="32"/>
  <c r="H81" i="32"/>
  <c r="H82" i="32"/>
  <c r="H83" i="32"/>
  <c r="H84" i="32"/>
  <c r="H85" i="32"/>
  <c r="H86" i="32"/>
  <c r="H87" i="32"/>
  <c r="H88" i="32"/>
  <c r="H89" i="32"/>
  <c r="H90" i="32"/>
  <c r="H91" i="32"/>
  <c r="H92" i="32"/>
  <c r="H93" i="32"/>
  <c r="H94" i="32"/>
  <c r="H95" i="32"/>
  <c r="H96" i="32"/>
  <c r="H97" i="32"/>
  <c r="H98" i="32"/>
  <c r="H99" i="32"/>
  <c r="H100" i="32"/>
  <c r="H101" i="32"/>
  <c r="H102" i="32"/>
  <c r="H103" i="32"/>
  <c r="H104" i="32"/>
  <c r="H105" i="32"/>
  <c r="H106" i="32"/>
  <c r="H107" i="32"/>
  <c r="H108" i="32"/>
  <c r="H109" i="32"/>
  <c r="H110" i="32"/>
  <c r="H111" i="32"/>
  <c r="H112" i="32"/>
  <c r="H113" i="32"/>
  <c r="H114" i="32"/>
  <c r="H115" i="32"/>
  <c r="H116" i="32"/>
  <c r="H117" i="32"/>
  <c r="H118" i="32"/>
  <c r="H119" i="32"/>
  <c r="H120" i="32"/>
  <c r="H121" i="32"/>
  <c r="H122" i="32"/>
  <c r="H123" i="32"/>
  <c r="H124" i="32"/>
  <c r="H125" i="32"/>
  <c r="H126" i="32"/>
  <c r="H127" i="32"/>
  <c r="H128" i="32"/>
  <c r="H129" i="32"/>
  <c r="H130" i="32"/>
  <c r="H131" i="32"/>
  <c r="H132" i="32"/>
  <c r="H133" i="32"/>
  <c r="H134" i="32"/>
  <c r="H135" i="32"/>
  <c r="H136" i="32"/>
  <c r="H137" i="32"/>
  <c r="H138" i="32"/>
  <c r="H139" i="32"/>
  <c r="H140" i="32"/>
  <c r="H141" i="32"/>
  <c r="H142" i="32"/>
  <c r="M13" i="4" a="1"/>
  <c r="M12" i="4" a="1"/>
  <c r="G8" i="31" a="1"/>
  <c r="G9" i="31" a="1"/>
  <c r="G10" i="31" a="1"/>
  <c r="G11" i="31" a="1"/>
  <c r="G12" i="31" a="1"/>
  <c r="G13" i="31" a="1"/>
  <c r="G14" i="31" a="1"/>
  <c r="G15" i="31" a="1"/>
  <c r="G16" i="31" a="1"/>
  <c r="G17" i="31" a="1"/>
  <c r="G18" i="31" a="1"/>
  <c r="G19" i="31" a="1"/>
  <c r="G20" i="31" a="1"/>
  <c r="G21" i="31" a="1"/>
  <c r="G22" i="31" a="1"/>
  <c r="G23" i="31" a="1"/>
  <c r="G24" i="31" a="1"/>
  <c r="G25" i="31" a="1"/>
  <c r="G26" i="31" a="1"/>
  <c r="G27" i="31" a="1"/>
  <c r="G28" i="31" a="1"/>
  <c r="G29" i="31" a="1"/>
  <c r="G30" i="31" a="1"/>
  <c r="G31" i="31" a="1"/>
  <c r="G32" i="31" a="1"/>
  <c r="F8" i="31" a="1"/>
  <c r="F9" i="31" a="1"/>
  <c r="F10" i="31" a="1"/>
  <c r="F11" i="31" a="1"/>
  <c r="F12" i="31" a="1"/>
  <c r="F13" i="31" a="1"/>
  <c r="F14" i="31" a="1"/>
  <c r="F15" i="31" a="1"/>
  <c r="F16" i="31" a="1"/>
  <c r="F17" i="31" a="1"/>
  <c r="F18" i="31" a="1"/>
  <c r="F19" i="31" a="1"/>
  <c r="F20" i="31" a="1"/>
  <c r="F21" i="31" a="1"/>
  <c r="F22" i="31" a="1"/>
  <c r="F23" i="31" a="1"/>
  <c r="F24" i="31" a="1"/>
  <c r="F25" i="31" a="1"/>
  <c r="F26" i="31" a="1"/>
  <c r="F27" i="31" a="1"/>
  <c r="F28" i="31" a="1"/>
  <c r="F29" i="31" a="1"/>
  <c r="F30" i="31" a="1"/>
  <c r="F31" i="31" a="1"/>
  <c r="F32" i="31" a="1"/>
  <c r="F9" i="18"/>
  <c r="F9" i="17"/>
  <c r="E30" i="5" a="1"/>
  <c r="F30" i="5" a="1"/>
  <c r="H30" i="5" a="1"/>
  <c r="E10" i="5" a="1"/>
  <c r="F10" i="5" a="1"/>
  <c r="H10" i="5" a="1"/>
  <c r="B3" i="9" a="1"/>
  <c r="B3" i="36" a="1"/>
  <c r="B3" i="8" a="1"/>
  <c r="B3" i="6" a="1"/>
  <c r="C22" i="36" a="1"/>
  <c r="G136" i="32"/>
  <c r="G115" i="32"/>
  <c r="G116" i="32"/>
  <c r="G117" i="32"/>
  <c r="G118" i="32"/>
  <c r="G119" i="32"/>
  <c r="G120" i="32"/>
  <c r="G121" i="32"/>
  <c r="G122" i="32"/>
  <c r="G123" i="32"/>
  <c r="G124" i="32"/>
  <c r="G125" i="32"/>
  <c r="G126" i="32"/>
  <c r="G127" i="32"/>
  <c r="G128" i="32"/>
  <c r="G129" i="32"/>
  <c r="G130" i="32"/>
  <c r="G114" i="32"/>
  <c r="F52" i="6"/>
  <c r="G52" i="6" s="1" a="1"/>
  <c r="C9" i="6" a="1"/>
  <c r="C10" i="6" a="1"/>
  <c r="C11" i="6" a="1"/>
  <c r="C12" i="6" a="1"/>
  <c r="C13" i="6" a="1"/>
  <c r="C14" i="6" a="1"/>
  <c r="C15" i="6" a="1"/>
  <c r="C16" i="6" a="1"/>
  <c r="C17" i="6" a="1"/>
  <c r="C18" i="6" a="1"/>
  <c r="C19" i="6" a="1"/>
  <c r="C20" i="6" a="1"/>
  <c r="C21" i="6" a="1"/>
  <c r="C22" i="6" a="1"/>
  <c r="C23" i="6" a="1"/>
  <c r="C24" i="6" a="1"/>
  <c r="C25" i="6" a="1"/>
  <c r="C26" i="6" a="1"/>
  <c r="C27" i="6" a="1"/>
  <c r="C28" i="6" a="1"/>
  <c r="C29" i="6" a="1"/>
  <c r="C30" i="6" a="1"/>
  <c r="C31" i="6" a="1"/>
  <c r="C32" i="6" a="1"/>
  <c r="C33" i="6" a="1"/>
  <c r="C34" i="6" a="1"/>
  <c r="C35" i="6" a="1"/>
  <c r="C36" i="6" a="1"/>
  <c r="C37" i="6" a="1"/>
  <c r="C38" i="6" a="1"/>
  <c r="C39" i="6" a="1"/>
  <c r="C40" i="6" a="1"/>
  <c r="C41" i="6" a="1"/>
  <c r="C42" i="6" a="1"/>
  <c r="C43" i="6" a="1"/>
  <c r="C44" i="6" a="1"/>
  <c r="C45" i="6" a="1"/>
  <c r="C46" i="6" a="1"/>
  <c r="C47" i="6" a="1"/>
  <c r="C48" i="6" a="1"/>
  <c r="C49" i="6" a="1"/>
  <c r="C50" i="6" a="1"/>
  <c r="C51" i="6" a="1"/>
  <c r="C52" i="6" a="1"/>
  <c r="C53" i="6" a="1"/>
  <c r="C54" i="6" a="1"/>
  <c r="C55" i="6" a="1"/>
  <c r="C56" i="6" a="1"/>
  <c r="C57" i="6" a="1"/>
  <c r="C58" i="6" a="1"/>
  <c r="C59" i="6" a="1"/>
  <c r="C60" i="6" a="1"/>
  <c r="C61" i="6" a="1"/>
  <c r="C62" i="6" a="1"/>
  <c r="C63" i="6" a="1"/>
  <c r="C64" i="6" a="1"/>
  <c r="C65" i="6" a="1"/>
  <c r="C66" i="6" a="1"/>
  <c r="C67" i="6" a="1"/>
  <c r="C68" i="6" a="1"/>
  <c r="C69" i="6" a="1"/>
  <c r="C70" i="6" a="1"/>
  <c r="C71" i="6" a="1"/>
  <c r="C72" i="6" a="1"/>
  <c r="C73" i="6" a="1"/>
  <c r="C74" i="6" a="1"/>
  <c r="C75" i="6" a="1"/>
  <c r="C76" i="6" a="1"/>
  <c r="C77" i="6" a="1"/>
  <c r="C78" i="6" a="1"/>
  <c r="C79" i="6" a="1"/>
  <c r="C80" i="6" a="1"/>
  <c r="C81" i="6" a="1"/>
  <c r="C82" i="6" a="1"/>
  <c r="C83" i="6" a="1"/>
  <c r="C84" i="6" a="1"/>
  <c r="C85" i="6" a="1"/>
  <c r="C86" i="6" a="1"/>
  <c r="C87" i="6" a="1"/>
  <c r="C88" i="6" a="1"/>
  <c r="C89" i="6" a="1"/>
  <c r="C90" i="6" a="1"/>
  <c r="C91" i="6" a="1"/>
  <c r="C92" i="6" a="1"/>
  <c r="C93" i="6" a="1"/>
  <c r="C94" i="6" a="1"/>
  <c r="C95" i="6" a="1"/>
  <c r="C96" i="6" a="1"/>
  <c r="C97" i="6" a="1"/>
  <c r="C98" i="6" a="1"/>
  <c r="C99" i="6" a="1"/>
  <c r="C100" i="6" a="1"/>
  <c r="C101" i="6" a="1"/>
  <c r="C102" i="6" a="1"/>
  <c r="C103" i="6" a="1"/>
  <c r="C104" i="6" a="1"/>
  <c r="L9" i="6"/>
  <c r="M9" i="6" s="1" a="1"/>
  <c r="L10" i="6"/>
  <c r="M10" i="6" s="1" a="1"/>
  <c r="L11" i="6"/>
  <c r="M11" i="6" s="1" a="1"/>
  <c r="L12" i="6"/>
  <c r="M12" i="6" s="1" a="1"/>
  <c r="L13" i="6"/>
  <c r="M13" i="6" s="1" a="1"/>
  <c r="L14" i="6"/>
  <c r="M14" i="6" s="1" a="1"/>
  <c r="L15" i="6"/>
  <c r="M15" i="6" s="1" a="1"/>
  <c r="L16" i="6"/>
  <c r="M16" i="6" s="1" a="1"/>
  <c r="L17" i="6"/>
  <c r="M17" i="6" s="1" a="1"/>
  <c r="L18" i="6"/>
  <c r="M18" i="6" s="1" a="1"/>
  <c r="L19" i="6"/>
  <c r="M19" i="6" s="1" a="1"/>
  <c r="L20" i="6"/>
  <c r="M20" i="6" s="1" a="1"/>
  <c r="L21" i="6"/>
  <c r="M21" i="6" s="1" a="1"/>
  <c r="L22" i="6"/>
  <c r="M22" i="6" s="1" a="1"/>
  <c r="L23" i="6"/>
  <c r="M23" i="6" s="1" a="1"/>
  <c r="L24" i="6"/>
  <c r="M24" i="6" s="1" a="1"/>
  <c r="L25" i="6"/>
  <c r="M25" i="6" s="1" a="1"/>
  <c r="L26" i="6"/>
  <c r="M26" i="6" s="1" a="1"/>
  <c r="L27" i="6"/>
  <c r="M27" i="6" s="1" a="1"/>
  <c r="L28" i="6"/>
  <c r="M28" i="6" s="1" a="1"/>
  <c r="L29" i="6"/>
  <c r="M29" i="6" s="1" a="1"/>
  <c r="L30" i="6"/>
  <c r="M30" i="6" s="1" a="1"/>
  <c r="L31" i="6"/>
  <c r="M31" i="6" s="1" a="1"/>
  <c r="L32" i="6"/>
  <c r="M32" i="6" s="1" a="1"/>
  <c r="L33" i="6"/>
  <c r="M33" i="6" s="1" a="1"/>
  <c r="L34" i="6"/>
  <c r="M34" i="6" s="1" a="1"/>
  <c r="L35" i="6"/>
  <c r="M35" i="6" s="1" a="1"/>
  <c r="L36" i="6"/>
  <c r="M36" i="6" s="1" a="1"/>
  <c r="L37" i="6"/>
  <c r="M37" i="6" s="1" a="1"/>
  <c r="L38" i="6"/>
  <c r="M38" i="6" s="1" a="1"/>
  <c r="L39" i="6"/>
  <c r="M39" i="6" s="1" a="1"/>
  <c r="L40" i="6"/>
  <c r="M40" i="6" s="1" a="1"/>
  <c r="L41" i="6"/>
  <c r="M41" i="6" s="1" a="1"/>
  <c r="L42" i="6"/>
  <c r="M42" i="6" s="1" a="1"/>
  <c r="L43" i="6"/>
  <c r="M43" i="6" s="1" a="1"/>
  <c r="L44" i="6"/>
  <c r="M44" i="6" s="1" a="1"/>
  <c r="L45" i="6"/>
  <c r="M45" i="6" s="1" a="1"/>
  <c r="L46" i="6"/>
  <c r="M46" i="6" s="1" a="1"/>
  <c r="L47" i="6"/>
  <c r="M47" i="6" s="1" a="1"/>
  <c r="L48" i="6"/>
  <c r="M48" i="6" s="1" a="1"/>
  <c r="L49" i="6"/>
  <c r="M49" i="6" s="1" a="1"/>
  <c r="L50" i="6"/>
  <c r="M50" i="6" s="1" a="1"/>
  <c r="L51" i="6"/>
  <c r="M51" i="6" s="1" a="1"/>
  <c r="L52" i="6"/>
  <c r="M52" i="6" s="1" a="1"/>
  <c r="L53" i="6"/>
  <c r="M53" i="6" s="1" a="1"/>
  <c r="L54" i="6"/>
  <c r="M54" i="6" s="1" a="1"/>
  <c r="L55" i="6"/>
  <c r="M55" i="6" s="1" a="1"/>
  <c r="L56" i="6"/>
  <c r="M56" i="6" s="1" a="1"/>
  <c r="L57" i="6"/>
  <c r="M57" i="6" s="1" a="1"/>
  <c r="L58" i="6"/>
  <c r="M58" i="6" s="1" a="1"/>
  <c r="L59" i="6"/>
  <c r="M59" i="6" s="1" a="1"/>
  <c r="L60" i="6"/>
  <c r="M60" i="6" s="1" a="1"/>
  <c r="L61" i="6"/>
  <c r="M61" i="6" s="1" a="1"/>
  <c r="L62" i="6"/>
  <c r="M62" i="6" s="1" a="1"/>
  <c r="L63" i="6"/>
  <c r="M63" i="6" s="1" a="1"/>
  <c r="L64" i="6"/>
  <c r="M64" i="6" s="1" a="1"/>
  <c r="L65" i="6"/>
  <c r="M65" i="6" s="1" a="1"/>
  <c r="L66" i="6"/>
  <c r="M66" i="6" s="1" a="1"/>
  <c r="L67" i="6"/>
  <c r="M67" i="6" s="1" a="1"/>
  <c r="L68" i="6"/>
  <c r="M68" i="6" s="1" a="1"/>
  <c r="L69" i="6"/>
  <c r="M69" i="6" s="1" a="1"/>
  <c r="L70" i="6"/>
  <c r="M70" i="6" s="1" a="1"/>
  <c r="L71" i="6"/>
  <c r="M71" i="6" s="1" a="1"/>
  <c r="L72" i="6"/>
  <c r="M72" i="6" s="1" a="1"/>
  <c r="L73" i="6"/>
  <c r="M73" i="6" s="1" a="1"/>
  <c r="L74" i="6"/>
  <c r="M74" i="6" s="1" a="1"/>
  <c r="L75" i="6"/>
  <c r="M75" i="6" s="1" a="1"/>
  <c r="L76" i="6"/>
  <c r="M76" i="6" s="1" a="1"/>
  <c r="L77" i="6"/>
  <c r="M77" i="6" s="1" a="1"/>
  <c r="L78" i="6"/>
  <c r="M78" i="6" s="1" a="1"/>
  <c r="L79" i="6"/>
  <c r="M79" i="6" s="1" a="1"/>
  <c r="L80" i="6"/>
  <c r="M80" i="6" s="1" a="1"/>
  <c r="L81" i="6"/>
  <c r="M81" i="6" s="1" a="1"/>
  <c r="L82" i="6"/>
  <c r="M82" i="6" s="1" a="1"/>
  <c r="L83" i="6"/>
  <c r="M83" i="6" s="1" a="1"/>
  <c r="L84" i="6"/>
  <c r="M84" i="6" s="1" a="1"/>
  <c r="L85" i="6"/>
  <c r="M85" i="6" s="1" a="1"/>
  <c r="L86" i="6"/>
  <c r="M86" i="6" s="1" a="1"/>
  <c r="L87" i="6"/>
  <c r="M87" i="6" s="1" a="1"/>
  <c r="L88" i="6"/>
  <c r="M88" i="6" s="1" a="1"/>
  <c r="L89" i="6"/>
  <c r="M89" i="6" s="1" a="1"/>
  <c r="L90" i="6"/>
  <c r="M90" i="6" s="1" a="1"/>
  <c r="L91" i="6"/>
  <c r="M91" i="6" s="1" a="1"/>
  <c r="L92" i="6"/>
  <c r="M92" i="6" s="1" a="1"/>
  <c r="L93" i="6"/>
  <c r="M93" i="6" s="1" a="1"/>
  <c r="L94" i="6"/>
  <c r="M94" i="6" s="1" a="1"/>
  <c r="L95" i="6"/>
  <c r="M95" i="6" s="1" a="1"/>
  <c r="L96" i="6"/>
  <c r="M96" i="6" s="1" a="1"/>
  <c r="L97" i="6"/>
  <c r="M97" i="6" s="1" a="1"/>
  <c r="L98" i="6"/>
  <c r="M98" i="6" s="1" a="1"/>
  <c r="L99" i="6"/>
  <c r="M99" i="6" s="1" a="1"/>
  <c r="L100" i="6"/>
  <c r="M100" i="6" s="1" a="1"/>
  <c r="L101" i="6"/>
  <c r="M101" i="6" s="1" a="1"/>
  <c r="L102" i="6"/>
  <c r="M102" i="6" s="1" a="1"/>
  <c r="L103" i="6"/>
  <c r="M103" i="6" s="1" a="1"/>
  <c r="L104" i="6"/>
  <c r="M104" i="6" s="1" a="1"/>
  <c r="G77" i="32"/>
  <c r="G76" i="32"/>
  <c r="G75" i="32"/>
  <c r="G74" i="32"/>
  <c r="G89" i="32"/>
  <c r="G88" i="32"/>
  <c r="G87" i="32"/>
  <c r="G86" i="32"/>
  <c r="G60" i="32"/>
  <c r="G59" i="32"/>
  <c r="G58" i="32"/>
  <c r="F9" i="6"/>
  <c r="G9" i="6" s="1" a="1"/>
  <c r="F10" i="6"/>
  <c r="G10" i="6" s="1" a="1"/>
  <c r="F11" i="6"/>
  <c r="G11" i="6" s="1" a="1"/>
  <c r="F12" i="6"/>
  <c r="G12" i="6" s="1" a="1"/>
  <c r="F13" i="6"/>
  <c r="G13" i="6" s="1" a="1"/>
  <c r="F14" i="6"/>
  <c r="G14" i="6" s="1" a="1"/>
  <c r="F15" i="6"/>
  <c r="G15" i="6" s="1" a="1"/>
  <c r="F16" i="6"/>
  <c r="G16" i="6" s="1" a="1"/>
  <c r="F17" i="6"/>
  <c r="G17" i="6" s="1" a="1"/>
  <c r="F18" i="6"/>
  <c r="G18" i="6" s="1" a="1"/>
  <c r="F19" i="6"/>
  <c r="G19" i="6" s="1" a="1"/>
  <c r="F20" i="6"/>
  <c r="G20" i="6" s="1" a="1"/>
  <c r="F21" i="6"/>
  <c r="G21" i="6" s="1" a="1"/>
  <c r="F22" i="6"/>
  <c r="G22" i="6" s="1" a="1"/>
  <c r="F23" i="6"/>
  <c r="G23" i="6" s="1" a="1"/>
  <c r="F24" i="6"/>
  <c r="G24" i="6" s="1" a="1"/>
  <c r="F25" i="6"/>
  <c r="G25" i="6" s="1" a="1"/>
  <c r="F26" i="6"/>
  <c r="G26" i="6" s="1" a="1"/>
  <c r="F27" i="6"/>
  <c r="G27" i="6" s="1" a="1"/>
  <c r="F28" i="6"/>
  <c r="G28" i="6" s="1" a="1"/>
  <c r="F29" i="6"/>
  <c r="G29" i="6" s="1" a="1"/>
  <c r="F30" i="6"/>
  <c r="G30" i="6" s="1" a="1"/>
  <c r="F31" i="6"/>
  <c r="G31" i="6" s="1" a="1"/>
  <c r="F32" i="6"/>
  <c r="G32" i="6" s="1" a="1"/>
  <c r="F33" i="6"/>
  <c r="G33" i="6" s="1" a="1"/>
  <c r="F34" i="6"/>
  <c r="G34" i="6" s="1" a="1"/>
  <c r="F35" i="6"/>
  <c r="G35" i="6" s="1" a="1"/>
  <c r="F36" i="6"/>
  <c r="G36" i="6" s="1" a="1"/>
  <c r="F37" i="6"/>
  <c r="G37" i="6" s="1" a="1"/>
  <c r="F38" i="6"/>
  <c r="G38" i="6" s="1" a="1"/>
  <c r="F39" i="6"/>
  <c r="G39" i="6" s="1" a="1"/>
  <c r="F40" i="6"/>
  <c r="G40" i="6" s="1" a="1"/>
  <c r="F41" i="6"/>
  <c r="G41" i="6" s="1" a="1"/>
  <c r="F42" i="6"/>
  <c r="G42" i="6" s="1" a="1"/>
  <c r="F43" i="6"/>
  <c r="G43" i="6" s="1" a="1"/>
  <c r="F44" i="6"/>
  <c r="G44" i="6" s="1" a="1"/>
  <c r="F45" i="6"/>
  <c r="G45" i="6" s="1" a="1"/>
  <c r="F46" i="6"/>
  <c r="G46" i="6" s="1" a="1"/>
  <c r="F47" i="6"/>
  <c r="G47" i="6" s="1" a="1"/>
  <c r="F48" i="6"/>
  <c r="G48" i="6" s="1" a="1"/>
  <c r="F49" i="6"/>
  <c r="G49" i="6" s="1" a="1"/>
  <c r="F50" i="6"/>
  <c r="G50" i="6" s="1" a="1"/>
  <c r="F51" i="6"/>
  <c r="G51" i="6" s="1" a="1"/>
  <c r="F53" i="6"/>
  <c r="G53" i="6" s="1" a="1"/>
  <c r="F54" i="6"/>
  <c r="G54" i="6" s="1" a="1"/>
  <c r="F55" i="6"/>
  <c r="G55" i="6" s="1" a="1"/>
  <c r="F56" i="6"/>
  <c r="G56" i="6" s="1" a="1"/>
  <c r="F57" i="6"/>
  <c r="G57" i="6" s="1" a="1"/>
  <c r="F58" i="6"/>
  <c r="G58" i="6" s="1" a="1"/>
  <c r="F59" i="6"/>
  <c r="G59" i="6" s="1" a="1"/>
  <c r="F60" i="6"/>
  <c r="G60" i="6" s="1" a="1"/>
  <c r="F61" i="6"/>
  <c r="G61" i="6" s="1" a="1"/>
  <c r="F62" i="6"/>
  <c r="G62" i="6" s="1" a="1"/>
  <c r="F63" i="6"/>
  <c r="G63" i="6" s="1" a="1"/>
  <c r="F64" i="6"/>
  <c r="G64" i="6" s="1" a="1"/>
  <c r="F65" i="6"/>
  <c r="G65" i="6" s="1" a="1"/>
  <c r="F66" i="6"/>
  <c r="G66" i="6" s="1" a="1"/>
  <c r="F67" i="6"/>
  <c r="G67" i="6" s="1" a="1"/>
  <c r="F68" i="6"/>
  <c r="G68" i="6" s="1" a="1"/>
  <c r="F69" i="6"/>
  <c r="G69" i="6" s="1" a="1"/>
  <c r="F70" i="6"/>
  <c r="G70" i="6" s="1" a="1"/>
  <c r="F71" i="6"/>
  <c r="G71" i="6" s="1" a="1"/>
  <c r="F72" i="6"/>
  <c r="G72" i="6" s="1" a="1"/>
  <c r="F73" i="6"/>
  <c r="G73" i="6" s="1" a="1"/>
  <c r="F74" i="6"/>
  <c r="G74" i="6" s="1" a="1"/>
  <c r="F75" i="6"/>
  <c r="G75" i="6" s="1" a="1"/>
  <c r="F76" i="6"/>
  <c r="G76" i="6" s="1" a="1"/>
  <c r="F77" i="6"/>
  <c r="G77" i="6" s="1" a="1"/>
  <c r="F78" i="6"/>
  <c r="G78" i="6" s="1" a="1"/>
  <c r="F79" i="6"/>
  <c r="G79" i="6" s="1" a="1"/>
  <c r="F80" i="6"/>
  <c r="G80" i="6" s="1" a="1"/>
  <c r="F81" i="6"/>
  <c r="G81" i="6" s="1" a="1"/>
  <c r="F82" i="6"/>
  <c r="G82" i="6" s="1" a="1"/>
  <c r="F83" i="6"/>
  <c r="G83" i="6" s="1" a="1"/>
  <c r="F84" i="6"/>
  <c r="G84" i="6" s="1" a="1"/>
  <c r="F85" i="6"/>
  <c r="G85" i="6" s="1" a="1"/>
  <c r="F86" i="6"/>
  <c r="G86" i="6" s="1" a="1"/>
  <c r="F87" i="6"/>
  <c r="G87" i="6" s="1" a="1"/>
  <c r="F88" i="6"/>
  <c r="G88" i="6" s="1" a="1"/>
  <c r="F89" i="6"/>
  <c r="G89" i="6" s="1" a="1"/>
  <c r="F90" i="6"/>
  <c r="G90" i="6" s="1" a="1"/>
  <c r="F91" i="6"/>
  <c r="G91" i="6" s="1" a="1"/>
  <c r="F92" i="6"/>
  <c r="G92" i="6" s="1" a="1"/>
  <c r="F93" i="6"/>
  <c r="G93" i="6" s="1" a="1"/>
  <c r="F94" i="6"/>
  <c r="G94" i="6" s="1" a="1"/>
  <c r="F95" i="6"/>
  <c r="G95" i="6" s="1" a="1"/>
  <c r="F96" i="6"/>
  <c r="G96" i="6" s="1" a="1"/>
  <c r="F97" i="6"/>
  <c r="G97" i="6" s="1" a="1"/>
  <c r="F98" i="6"/>
  <c r="G98" i="6" s="1" a="1"/>
  <c r="F99" i="6"/>
  <c r="G99" i="6" s="1" a="1"/>
  <c r="F100" i="6"/>
  <c r="G100" i="6" s="1" a="1"/>
  <c r="F101" i="6"/>
  <c r="G101" i="6" s="1" a="1"/>
  <c r="F102" i="6"/>
  <c r="G102" i="6" s="1" a="1"/>
  <c r="F103" i="6"/>
  <c r="G103" i="6" s="1" a="1"/>
  <c r="F104" i="6"/>
  <c r="G104" i="6" s="1" a="1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61" i="32"/>
  <c r="G62" i="32"/>
  <c r="G63" i="32"/>
  <c r="G64" i="32"/>
  <c r="G65" i="32"/>
  <c r="G66" i="32"/>
  <c r="G67" i="32"/>
  <c r="G68" i="32"/>
  <c r="G69" i="32"/>
  <c r="G70" i="32"/>
  <c r="G71" i="32"/>
  <c r="G72" i="32"/>
  <c r="G73" i="32"/>
  <c r="G78" i="32"/>
  <c r="G79" i="32"/>
  <c r="G80" i="32"/>
  <c r="G90" i="32"/>
  <c r="G91" i="32"/>
  <c r="G92" i="32"/>
  <c r="G93" i="32"/>
  <c r="G94" i="32"/>
  <c r="G95" i="32"/>
  <c r="G96" i="32"/>
  <c r="G97" i="32"/>
  <c r="G98" i="32"/>
  <c r="G99" i="32"/>
  <c r="G100" i="32"/>
  <c r="G101" i="32"/>
  <c r="G102" i="32"/>
  <c r="G103" i="32"/>
  <c r="G104" i="32"/>
  <c r="G105" i="32"/>
  <c r="G106" i="32"/>
  <c r="G107" i="32"/>
  <c r="G108" i="32"/>
  <c r="G109" i="32"/>
  <c r="G110" i="32"/>
  <c r="G111" i="32"/>
  <c r="G112" i="32"/>
  <c r="G113" i="32"/>
  <c r="G131" i="32"/>
  <c r="G132" i="32"/>
  <c r="G133" i="32"/>
  <c r="G134" i="32"/>
  <c r="G135" i="32"/>
  <c r="G141" i="32"/>
  <c r="G142" i="32"/>
  <c r="G139" i="32"/>
  <c r="G137" i="32"/>
  <c r="G138" i="32"/>
  <c r="G53" i="32"/>
  <c r="G54" i="32"/>
  <c r="G55" i="32"/>
  <c r="G56" i="32"/>
  <c r="G57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140" i="32"/>
  <c r="G81" i="32"/>
  <c r="G82" i="32"/>
  <c r="G83" i="32"/>
  <c r="G84" i="32"/>
  <c r="G85" i="32"/>
  <c r="D131" i="32"/>
  <c r="D133" i="32"/>
  <c r="D132" i="32"/>
  <c r="D134" i="32"/>
  <c r="D135" i="32"/>
  <c r="B3" i="13" a="1"/>
  <c r="E29" i="5" a="1"/>
  <c r="F29" i="5" a="1"/>
  <c r="F26" i="5" a="1"/>
  <c r="F27" i="5" a="1"/>
  <c r="F28" i="5" a="1"/>
  <c r="F9" i="5" a="1"/>
  <c r="F11" i="5" a="1"/>
  <c r="F12" i="5" a="1"/>
  <c r="F13" i="5" a="1"/>
  <c r="F14" i="5" a="1"/>
  <c r="F15" i="5" a="1"/>
  <c r="F16" i="5" a="1"/>
  <c r="F17" i="5" a="1"/>
  <c r="F18" i="5" a="1"/>
  <c r="F19" i="5" a="1"/>
  <c r="F20" i="5" a="1"/>
  <c r="F21" i="5" a="1"/>
  <c r="F22" i="5" a="1"/>
  <c r="F23" i="5" a="1"/>
  <c r="F24" i="5" a="1"/>
  <c r="F25" i="5" a="1"/>
  <c r="F8" i="5" a="1"/>
  <c r="E8" i="5" a="1"/>
  <c r="E9" i="5" a="1"/>
  <c r="E11" i="5" a="1"/>
  <c r="E12" i="5" a="1"/>
  <c r="E13" i="5" a="1"/>
  <c r="E14" i="5" a="1"/>
  <c r="E15" i="5" a="1"/>
  <c r="E16" i="5" a="1"/>
  <c r="E17" i="5" a="1"/>
  <c r="E18" i="5" a="1"/>
  <c r="E19" i="5" a="1"/>
  <c r="E20" i="5" a="1"/>
  <c r="E21" i="5" a="1"/>
  <c r="E22" i="5" a="1"/>
  <c r="E23" i="5" a="1"/>
  <c r="E24" i="5" a="1"/>
  <c r="E25" i="5" a="1"/>
  <c r="E26" i="5" a="1"/>
  <c r="E27" i="5" a="1"/>
  <c r="E28" i="5" a="1"/>
  <c r="H29" i="5" a="1"/>
  <c r="H28" i="5" a="1"/>
  <c r="H27" i="5" a="1"/>
  <c r="M10" i="4" a="1"/>
  <c r="M11" i="4" a="1"/>
  <c r="M14" i="4" a="1"/>
  <c r="M9" i="4" a="1"/>
  <c r="K9" i="4" a="1"/>
  <c r="K10" i="4" a="1"/>
  <c r="K11" i="4" a="1"/>
  <c r="K12" i="4" a="1"/>
  <c r="K13" i="4" a="1"/>
  <c r="K14" i="4" a="1"/>
  <c r="J9" i="4" a="1"/>
  <c r="J10" i="4" a="1"/>
  <c r="J11" i="4" a="1"/>
  <c r="J12" i="4" a="1"/>
  <c r="J13" i="4" a="1"/>
  <c r="J14" i="4" a="1"/>
  <c r="B3" i="20" a="1"/>
  <c r="B3" i="21" a="1"/>
  <c r="B3" i="18" a="1"/>
  <c r="B3" i="17" a="1"/>
  <c r="B3" i="4" a="1"/>
  <c r="B3" i="3" a="1"/>
  <c r="H8" i="5" a="1"/>
  <c r="H9" i="5" a="1"/>
  <c r="H11" i="5" a="1"/>
  <c r="H12" i="5" a="1"/>
  <c r="H13" i="5" a="1"/>
  <c r="H14" i="5" a="1"/>
  <c r="H15" i="5" a="1"/>
  <c r="H16" i="5" a="1"/>
  <c r="H17" i="5" a="1"/>
  <c r="H18" i="5" a="1"/>
  <c r="H19" i="5" a="1"/>
  <c r="H20" i="5" a="1"/>
  <c r="H21" i="5" a="1"/>
  <c r="H22" i="5" a="1"/>
  <c r="H23" i="5" a="1"/>
  <c r="H24" i="5" a="1"/>
  <c r="H25" i="5" a="1"/>
  <c r="H26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<sst xmlns="http://schemas.openxmlformats.org/spreadsheetml/2006/main" count="2294" uniqueCount="1377">
  <si>
    <t>Opis</t>
  </si>
  <si>
    <t>Value</t>
  </si>
  <si>
    <t>MyDr</t>
  </si>
  <si>
    <t>Nazwa</t>
  </si>
  <si>
    <t>Adres</t>
  </si>
  <si>
    <t>Email</t>
  </si>
  <si>
    <t>Telefon</t>
  </si>
  <si>
    <t>Inspektor Ochrony Danych</t>
  </si>
  <si>
    <t>Przedstawiciel</t>
  </si>
  <si>
    <t>Tak</t>
  </si>
  <si>
    <t>Nie</t>
  </si>
  <si>
    <t>Administrator</t>
  </si>
  <si>
    <t>Nazwa i dane kontaktowe administratora</t>
  </si>
  <si>
    <t>Nie dotyczy</t>
  </si>
  <si>
    <t>Dokument</t>
  </si>
  <si>
    <t>Status</t>
  </si>
  <si>
    <t>art. 30 RODO</t>
  </si>
  <si>
    <t>Analiza ryzyka ochrony danych</t>
  </si>
  <si>
    <t>art. 24, 25, 32 RODO</t>
  </si>
  <si>
    <t>DPIA</t>
  </si>
  <si>
    <t>art. 35</t>
  </si>
  <si>
    <t>Klauzula informacyjna dla pacjentów</t>
  </si>
  <si>
    <t>art. 13/14 RODO</t>
  </si>
  <si>
    <t>Rejestr naruszeń ochrony danych</t>
  </si>
  <si>
    <t>art. 33 ust. 5</t>
  </si>
  <si>
    <t>Procedura naruszeń</t>
  </si>
  <si>
    <t>Procedura realizacji praw osób</t>
  </si>
  <si>
    <t>art. 12–22</t>
  </si>
  <si>
    <t>art. 28</t>
  </si>
  <si>
    <t>art. 29 + rozliczalność</t>
  </si>
  <si>
    <t>Upoważnienia do przetwarzania</t>
  </si>
  <si>
    <t>art. 29</t>
  </si>
  <si>
    <t>Wykaz udostępnionej dokumentacji medycznej</t>
  </si>
  <si>
    <t>obowiązkowy</t>
  </si>
  <si>
    <t>art. 27 ust. 4 ustawy o prawach pacjenta</t>
  </si>
  <si>
    <t>Polityka/procedura backupu i odtwarzania</t>
  </si>
  <si>
    <t>art. 32 RODO + przepisy medyczne</t>
  </si>
  <si>
    <t>Polityka retencji/usuwania danych</t>
  </si>
  <si>
    <t>Polityka bezpieczeństwa informacji/RODO</t>
  </si>
  <si>
    <t>art. 24/32</t>
  </si>
  <si>
    <t>wskazany</t>
  </si>
  <si>
    <t>opcjonalny</t>
  </si>
  <si>
    <t>Podstawa prawna</t>
  </si>
  <si>
    <t>Wersja</t>
  </si>
  <si>
    <t>Data</t>
  </si>
  <si>
    <t>Kategoria</t>
  </si>
  <si>
    <t>warunkowy</t>
  </si>
  <si>
    <t>Komentarz</t>
  </si>
  <si>
    <t>jeśli występują</t>
  </si>
  <si>
    <t>Warunki</t>
  </si>
  <si>
    <t>1.0</t>
  </si>
  <si>
    <t>1.1</t>
  </si>
  <si>
    <t>wewnętrzny</t>
  </si>
  <si>
    <t>zewnętrzny</t>
  </si>
  <si>
    <t>Lokalizacja</t>
  </si>
  <si>
    <t>Wykaz podstaw prawnych</t>
  </si>
  <si>
    <t>Obszar</t>
  </si>
  <si>
    <t>Konto użytkownika</t>
  </si>
  <si>
    <t>słabe/powtórzone hasło</t>
  </si>
  <si>
    <t>przejęcie konta</t>
  </si>
  <si>
    <t>phishing</t>
  </si>
  <si>
    <t>pozostawiona aktywna sesja</t>
  </si>
  <si>
    <t>dostęp osoby nieuprawnionej</t>
  </si>
  <si>
    <t>Komputer</t>
  </si>
  <si>
    <t>malware</t>
  </si>
  <si>
    <t>ransomware</t>
  </si>
  <si>
    <t>nieaktualny OS/aplikacje</t>
  </si>
  <si>
    <t>wykorzystanie podatności</t>
  </si>
  <si>
    <t>kradzież komputera</t>
  </si>
  <si>
    <t>błąd systemu</t>
  </si>
  <si>
    <t>awaria dostawcy</t>
  </si>
  <si>
    <t>naruszenie bezpieczeństwa dostawcy</t>
  </si>
  <si>
    <t>Internet / transmisja</t>
  </si>
  <si>
    <t>MITM / niebezpieczna sieć</t>
  </si>
  <si>
    <t>awaria Internetu</t>
  </si>
  <si>
    <t>E-mail / komunikacja</t>
  </si>
  <si>
    <t>wysłanie do złego adresata</t>
  </si>
  <si>
    <t>niezaszyfrowany załącznik</t>
  </si>
  <si>
    <t>przejęcie skrzynki</t>
  </si>
  <si>
    <t>Dokumenty papierowe</t>
  </si>
  <si>
    <t>wyrzucenie bez zniszczenia</t>
  </si>
  <si>
    <t>kradzież / zgubienie</t>
  </si>
  <si>
    <t>Nośniki</t>
  </si>
  <si>
    <t>uszkodzenie nośnika</t>
  </si>
  <si>
    <t>Personel</t>
  </si>
  <si>
    <t>pomyłka</t>
  </si>
  <si>
    <t>nadmierne uprawnienia</t>
  </si>
  <si>
    <t>działanie celowe</t>
  </si>
  <si>
    <t>Pomieszczenie</t>
  </si>
  <si>
    <t>kradzież</t>
  </si>
  <si>
    <t>pożar / zalanie</t>
  </si>
  <si>
    <t>Backup / archiwum</t>
  </si>
  <si>
    <t>uszkodzona kopia</t>
  </si>
  <si>
    <t>nieweryfikowane kopie</t>
  </si>
  <si>
    <t>Udostępnianie dokumentacji</t>
  </si>
  <si>
    <t>błędna identyfikacja pacjenta</t>
  </si>
  <si>
    <t>Integralność medyczna</t>
  </si>
  <si>
    <t>pomyłka przy wpisie</t>
  </si>
  <si>
    <t>Dostępność</t>
  </si>
  <si>
    <t>awaria systemu</t>
  </si>
  <si>
    <t>awaria zasilania</t>
  </si>
  <si>
    <t>awaria dostawcy SaaS</t>
  </si>
  <si>
    <t>ransomware / DoS</t>
  </si>
  <si>
    <t>Procesor</t>
  </si>
  <si>
    <t>Odbiorca</t>
  </si>
  <si>
    <t>Inspektor</t>
  </si>
  <si>
    <t>Współadministrator</t>
  </si>
  <si>
    <t>Subprocesor</t>
  </si>
  <si>
    <t>Osoba upoważniona</t>
  </si>
  <si>
    <t>Strona trzecia</t>
  </si>
  <si>
    <t>Pacjent</t>
  </si>
  <si>
    <t>Podział obowiązków pomiędzy administratorem a procesorem</t>
  </si>
  <si>
    <t>Umowa powierzenia przetwarzania danych</t>
  </si>
  <si>
    <t>Dokument / czynność</t>
  </si>
  <si>
    <t>Ustalenie wszystkich procesów przetwarzania danych</t>
  </si>
  <si>
    <t>art. 5, 24, 30 RODO</t>
  </si>
  <si>
    <t>Określenie podstaw prawnych przetwarzania</t>
  </si>
  <si>
    <t>art. 6 i 9 RODO</t>
  </si>
  <si>
    <t>art. 12–14 RODO</t>
  </si>
  <si>
    <t>Dobór zabezpieczeń na podstawie ryzyka</t>
  </si>
  <si>
    <t>art. 25, 32</t>
  </si>
  <si>
    <t>Weryfikacja MyDr jako procesora</t>
  </si>
  <si>
    <t>art. 28 ust. 1</t>
  </si>
  <si>
    <t>art. 28 + art. 5 ust. 2</t>
  </si>
  <si>
    <t>art. 33–34</t>
  </si>
  <si>
    <t>Ocena ryzyka każdego naruszenia</t>
  </si>
  <si>
    <t>Zgłoszenie naruszenia UODO</t>
  </si>
  <si>
    <t>art. 33</t>
  </si>
  <si>
    <t>Zawiadomienie pacjentów o naruszeniu</t>
  </si>
  <si>
    <t>art. 34</t>
  </si>
  <si>
    <t>Obsługa dostępu/sprostowania/ograniczenia itd.</t>
  </si>
  <si>
    <t>art. 15–22</t>
  </si>
  <si>
    <t>Weryfikacja tożsamości wnioskodawcy</t>
  </si>
  <si>
    <t>art. 12 ust. 6</t>
  </si>
  <si>
    <t>Procedura udostępniania dokumentacji medycznej</t>
  </si>
  <si>
    <t>ustawa o prawach pacjenta</t>
  </si>
  <si>
    <t>Wykaz udostępnionej dokumentacji</t>
  </si>
  <si>
    <t>Upoważnienia pacjentów dla osób trzecich</t>
  </si>
  <si>
    <t>przepisy o dokumentacji medycznej</t>
  </si>
  <si>
    <t>Prowadzenie dokumentacji medycznej</t>
  </si>
  <si>
    <t>ustawa o prawach pacjenta + rozp. MZ</t>
  </si>
  <si>
    <t>Zachowanie ustawowych okresów przechowywania</t>
  </si>
  <si>
    <t>art. 29 ustawy o prawach pacjenta</t>
  </si>
  <si>
    <t>art. 5 ust. 1 lit. e RODO + przepisy medyczne</t>
  </si>
  <si>
    <t>Bezpieczne niszczenie dokumentów/nośników</t>
  </si>
  <si>
    <t>art. 5, 24, 32</t>
  </si>
  <si>
    <t>Kontrola dostępu do MyDr</t>
  </si>
  <si>
    <t>art. 32</t>
  </si>
  <si>
    <t>Silne, unikalne hasło</t>
  </si>
  <si>
    <t>MFA/2FA, jeśli dostępne</t>
  </si>
  <si>
    <t>art. 32 / analiza ryzyka</t>
  </si>
  <si>
    <t>Szyfrowanie laptopa</t>
  </si>
  <si>
    <t>Automatyczna blokada ekranu</t>
  </si>
  <si>
    <t>Aktualizacje OS i aplikacji</t>
  </si>
  <si>
    <t>Ochrona przed malware</t>
  </si>
  <si>
    <t>Backup danych</t>
  </si>
  <si>
    <t>art. 32 ust. 1 lit. c</t>
  </si>
  <si>
    <t>Określenie częstotliwości backupu</t>
  </si>
  <si>
    <t>Kopia odseparowana od systemu produkcyjnego</t>
  </si>
  <si>
    <t>art. 32 + rekomendacje MZ</t>
  </si>
  <si>
    <t>Test odtworzenia backupu</t>
  </si>
  <si>
    <t>art. 32 ust. 1 lit. d</t>
  </si>
  <si>
    <t>Przegląd zabezpieczeń</t>
  </si>
  <si>
    <t>art. 29, 32</t>
  </si>
  <si>
    <t>Odebranie dostępu po zakończeniu współpracy</t>
  </si>
  <si>
    <t>Szkolenie osób mających dostęp</t>
  </si>
  <si>
    <t>IOD – Inspektor Ochrony Danych</t>
  </si>
  <si>
    <t>art. 37</t>
  </si>
  <si>
    <t>Weryfikacja transferów danych poza EOG</t>
  </si>
  <si>
    <t>art. 44–49</t>
  </si>
  <si>
    <t>Privacy by design/default</t>
  </si>
  <si>
    <t>art. 25</t>
  </si>
  <si>
    <t>Minimalizacja danych</t>
  </si>
  <si>
    <t>art. 5 ust. 1 lit. c</t>
  </si>
  <si>
    <t>Zapewnienie poprawności danych</t>
  </si>
  <si>
    <t>art. 5 ust. 1 lit. d</t>
  </si>
  <si>
    <t>Okresowy audyt całego systemu</t>
  </si>
  <si>
    <t>art. 5 ust. 2, 24, 32</t>
  </si>
  <si>
    <t>Ocena skutków dla ochrony przetwarzania danych (DPIA)</t>
  </si>
  <si>
    <t>Nazwa czynności przetwarzania</t>
  </si>
  <si>
    <t>Cel przetwarzania</t>
  </si>
  <si>
    <t>Kategorie osób</t>
  </si>
  <si>
    <t>Kategorie danych</t>
  </si>
  <si>
    <t>Źródło danych</t>
  </si>
  <si>
    <t xml:space="preserve">Transfer do kraju trzeciego lub organizacji międzynarodowej (nazwa kraju i podmiotu) </t>
  </si>
  <si>
    <t>Art.. 30 ust. 1 pkt b</t>
  </si>
  <si>
    <t>Art.. 30 ust. 1 pkt c</t>
  </si>
  <si>
    <t>Art.. 30 ust. 1 pkt f</t>
  </si>
  <si>
    <t>Art.. 30 ust. 1 pkt a</t>
  </si>
  <si>
    <t>Art.. 30 ust. 1 pkt d</t>
  </si>
  <si>
    <t>Art.. 30 ust. 1 pkt g</t>
  </si>
  <si>
    <t>Art. 30 ust. 1 pkt e</t>
  </si>
  <si>
    <t>Informacje kontaktowe</t>
  </si>
  <si>
    <t>Rola</t>
  </si>
  <si>
    <t>System</t>
  </si>
  <si>
    <t>ID</t>
  </si>
  <si>
    <t>Czynność przetwarzania</t>
  </si>
  <si>
    <t>RCP-01</t>
  </si>
  <si>
    <t>Rejestracja i obsługa wizyt pacjentów</t>
  </si>
  <si>
    <t>umawianie, zmiana i odwoływanie wizyt, dane kontaktowe, terminarz</t>
  </si>
  <si>
    <t>RCP-02</t>
  </si>
  <si>
    <t>Udzielanie świadczeń zdrowotnych i prowadzenie dokumentacji medycznej</t>
  </si>
  <si>
    <t>wywiad, badanie, rozpoznanie, leczenie, zalecenia, wyniki, historia choroby</t>
  </si>
  <si>
    <t>RCP-03</t>
  </si>
  <si>
    <t>Wystawianie recept, skierowań, zleceń i innych dokumentów medycznych</t>
  </si>
  <si>
    <t>e-recepty, e-skierowania, zlecenia, zaświadczenia itp.</t>
  </si>
  <si>
    <t>RCP-04</t>
  </si>
  <si>
    <t>Wymiana informacji medycznej z innymi podmiotami uczestniczącymi w leczeniu</t>
  </si>
  <si>
    <t>laboratoria, inni lekarze, szpitale, konsultacje, przekazywanie/odbieranie wyników</t>
  </si>
  <si>
    <t>RCP-05</t>
  </si>
  <si>
    <t>Udostępnianie dokumentacji medycznej</t>
  </si>
  <si>
    <t>wnioski pacjentów, pełnomocników, sądów, organów itd.; kopie, wydruki, przesyłanie elektroniczne</t>
  </si>
  <si>
    <t>RCP-06</t>
  </si>
  <si>
    <t>Przechowywanie i archiwizacja dokumentacji medycznej</t>
  </si>
  <si>
    <t>dokumentacja po zakończeniu bieżącego leczenia, retencja ustawowa, archiwum</t>
  </si>
  <si>
    <t>Rozliczenia z pacjentami i dokumentacja księgowo-podatkowa</t>
  </si>
  <si>
    <t>rachunki/faktury, płatności, dokumenty księgowe</t>
  </si>
  <si>
    <t>Rozliczenia z NFZ / płatnikiem instytucjonalnym</t>
  </si>
  <si>
    <t>sprawozdawczość i rozliczenie świadczeń</t>
  </si>
  <si>
    <t>Obsługa korespondencji i zapytań</t>
  </si>
  <si>
    <t>telefon, e-mail, formularz kontaktowy, korespondencja niezwiązana jeszcze z dokumentacją medyczną</t>
  </si>
  <si>
    <t>Dochodzenie roszczeń i obrona przed roszczeniami</t>
  </si>
  <si>
    <t>reklamacje, skargi, spory, ubezpieczyciel OC, postępowania prawne</t>
  </si>
  <si>
    <t>Realizacja obowiązków prawnych i współpraca z organami</t>
  </si>
  <si>
    <t>sądy, prokuratura, organy zawodowe, organy administracji itp.</t>
  </si>
  <si>
    <t>Zatrudnienie i współpraca z personelem</t>
  </si>
  <si>
    <t>pracownicy, zleceniobiorcy, współpracujący lekarze itd.</t>
  </si>
  <si>
    <t>Marketing i komunikacja marketingowa</t>
  </si>
  <si>
    <t>newsletter, zgody marketingowe, kampanie, informacje handlowe</t>
  </si>
  <si>
    <t>Obsługa strony internetowej</t>
  </si>
  <si>
    <t>Monitoring wizyjny</t>
  </si>
  <si>
    <t>CCTV w gabinecie/poczekalni</t>
  </si>
  <si>
    <t>formularz, logi, cookies/analityka</t>
  </si>
  <si>
    <t>Rejestr procesorów przetwarzania danych</t>
  </si>
  <si>
    <t>Jednostka organizacyjna</t>
  </si>
  <si>
    <t>Planowany termin usunięcia kategorii danych</t>
  </si>
  <si>
    <t>Podmiot przetwarzający</t>
  </si>
  <si>
    <t>Kategorie odbiorców (innych niż procesor)</t>
  </si>
  <si>
    <t>System / oprogramowanie</t>
  </si>
  <si>
    <t>Ogólny opis środków bezpieczeństwa art. 32 ust. 1</t>
  </si>
  <si>
    <t>JDG / praktyka lekarska</t>
  </si>
  <si>
    <t>Umawianie, zmiana, odwoływanie i organizacja wizyt; kontakt z pacjentem</t>
  </si>
  <si>
    <t>Pacjenci; przedstawiciele ustawowi/opiekunowie; osoby kontaktujące się w imieniu pacjenta</t>
  </si>
  <si>
    <t>Dane identyfikacyjne; kontaktowe; dane dotyczące terminu/rodzaju wizyty; w zakresie niezbędnym także dane dotyczące zdrowia</t>
  </si>
  <si>
    <t>Art. 6 ust. 1 lit. b i/lub c RODO; w zakresie danych o zdrowiu art. 9 ust. 2 lit. h RODO + właściwe przepisy krajowe</t>
  </si>
  <si>
    <t>Pacjent; przedstawiciel ustawowy/osoba działająca w jego imieniu; dane istniejące w dokumentacji</t>
  </si>
  <si>
    <r>
      <t xml:space="preserve">Dane włączone do dokumentacji medycznej – zgodnie z terminami ustawowymi; pozostałe dane rejestracyjne – </t>
    </r>
    <r>
      <rPr>
        <b/>
        <sz val="11"/>
        <color theme="1"/>
        <rFont val="Calibri"/>
        <family val="2"/>
        <charset val="238"/>
        <scheme val="minor"/>
      </rPr>
      <t>[ustalić okres niezbędności]</t>
    </r>
  </si>
  <si>
    <t>Podmioty uprawnione na podstawie przepisów prawa – jeśli wystąpi potrzeba</t>
  </si>
  <si>
    <t>Kontrola dostępu; indywidualne konta; uwierzytelnianie; ograniczenie dostępu do niezbędnego zakresu; zabezpieczenie urządzeń i transmisji; kopie/odtwarzalność stosownie do systemu; procedury organizacyjne</t>
  </si>
  <si>
    <t>Diagnozowanie, leczenie, monitorowanie stanu zdrowia, prowadzenie wymaganej dokumentacji; wystawianie recept, skierowań, zleceń, zaświadczeń itp.</t>
  </si>
  <si>
    <t>Pacjenci; przedstawiciele ustawowi; osoby upoważnione przez pacjenta, jeżeli ich dane znajdują się w dokumentacji</t>
  </si>
  <si>
    <t>Dane identyfikacyjne i kontaktowe; PESEL; dane dotyczące zdrowia, wywiadu, rozpoznań, wyników badań, leczenia, leków, świadczeń; inne dane wymagane dokumentacją medyczną</t>
  </si>
  <si>
    <t>Art. 6 ust. 1 lit. c RODO; art. 9 ust. 2 lit. h RODO; przepisy dotyczące działalności leczniczej, praw pacjenta i dokumentacji medycznej</t>
  </si>
  <si>
    <t>Pacjent; przedstawiciel ustawowy; dokumentacja medyczna; wyniki badań; inni uprawnieni świadczeniodawcy/systemy ochrony zdrowia</t>
  </si>
  <si>
    <t>Co do zasady 20 lat od końca roku ostatniego wpisu; z uwzględnieniem ustawowych wyjątków</t>
  </si>
  <si>
    <t>Uprawnione podmioty lecznicze/osoby wykonujące zawody medyczne; systemy ochrony zdrowia; inne podmioty uprawnione przepisami prawa – zależnie od przypadku</t>
  </si>
  <si>
    <t>Realizacja prawa dostępu do dokumentacji oraz ustawowych obowiązków jej udostępniania</t>
  </si>
  <si>
    <t>Pacjenci; przedstawiciele ustawowi; osoby upoważnione/bliskie w przypadkach przewidzianych prawem; osoby występujące w dokumentacji</t>
  </si>
  <si>
    <t>Dane zawarte w dokumentacji medycznej; dane identyfikacyjne osoby występującej o dokumentację/uprawnionej do jej otrzymania; informacje dotyczące udostępnienia</t>
  </si>
  <si>
    <t>Art. 6 ust. 1 lit. c RODO; art. 9 ust. 2 lit. h RODO; art. 23–27 ustawy o prawach pacjenta i RPP</t>
  </si>
  <si>
    <t>Dokumentacja medyczna; pacjent; osoba wnioskująca; przedstawiciel/upoważniony; właściwy organ</t>
  </si>
  <si>
    <t>Dokumentacja – zgodnie z ustawowymi terminami jej przechowywania; informacje o udostępnieniu – zgodnie z wymaganiami dotyczącymi dokumentacji/ewidencji udostępnień</t>
  </si>
  <si>
    <t>Pacjent; przedstawiciel ustawowy; osoba upoważniona; podmioty i organy uprawnione na podstawie art. 26 ustawy lub innych przepisów</t>
  </si>
  <si>
    <t>Weryfikacja tożsamości i uprawnienia odbiorcy; kontrola zakresu udostępnienia; bezpieczny kanał przekazania; ewidencjonowanie udostępnień; zabezpieczenie wydruków/nośników</t>
  </si>
  <si>
    <t>Pobieranie i ewidencjonowanie płatności; wystawianie dokumentów sprzedaży; prowadzenie księgowości; realizacja obowiązków podatkowych</t>
  </si>
  <si>
    <t>Pacjenci/nabywcy; kontrahenci; ewentualnie przedstawiciele nabywców</t>
  </si>
  <si>
    <t>Dane identyfikacyjne; adresowe; dane dokumentów sprzedaży; dane dotyczące wykonanej usługi w zakresie niezbędnym do rozliczenia; dane o płatności</t>
  </si>
  <si>
    <t>Art. 6 ust. 1 lit. b i c RODO; przepisy podatkowe i rachunkowe właściwe dla sposobu rozliczeń</t>
  </si>
  <si>
    <t>Pacjent/nabywca; administrator; operator płatności/bank – jeśli dotyczy</t>
  </si>
  <si>
    <t>Zgodnie z terminami wynikającymi z przepisów podatkowych/rachunkowych i terminami przedawnienia zobowiązań/roszczeń</t>
  </si>
  <si>
    <t>Organy podatkowe; bank/operator płatności – stosownie do sposobu rozliczenia; inne podmioty uprawnione prawem</t>
  </si>
  <si>
    <t>Kontrola dostępu; zabezpieczenie urządzeń i dokumentów; uwierzytelnianie; bezpieczne przekazywanie dokumentacji księgowej; kopie danych; ograniczenie zakresu przekazywanych danych</t>
  </si>
  <si>
    <t>Obsługa kontaktu z osobami zwracającymi się do praktyki w sprawach niewchodzących bezpośrednio w zakres rejestracji wizyty lub udzielania świadczenia</t>
  </si>
  <si>
    <t>Pacjenci; potencjalni pacjenci; inne osoby kontaktujące się z praktyką</t>
  </si>
  <si>
    <t>Imię i nazwisko; dane kontaktowe; treść korespondencji; inne dane dobrowolnie przekazane przez nadawcę, potencjalnie również dane dotyczące zdrowia</t>
  </si>
  <si>
    <t>Zależnie od treści: art. 6 ust. 1 lit. b, c lub f RODO; dla danych dotyczących zdrowia – właściwa przesłanka art. 9 ust. 2, jeśli ich przetwarzanie jest konieczne</t>
  </si>
  <si>
    <t>Bezpośrednio od osoby kontaktującej się</t>
  </si>
  <si>
    <r>
      <t xml:space="preserve">Do zakończenia sprawy + okres niezbędny do wykazania jej prawidłowej obsługi/obrony roszczeń; </t>
    </r>
    <r>
      <rPr>
        <b/>
        <sz val="11"/>
        <color theme="1"/>
        <rFont val="Calibri"/>
        <family val="2"/>
        <charset val="238"/>
        <scheme val="minor"/>
      </rPr>
      <t>[okres do ustalenia w polityce retencji]</t>
    </r>
  </si>
  <si>
    <t>Podmioty uprawnione prawem; inni odbiorcy wyłącznie, gdy wymaga tego charakter sprawy</t>
  </si>
  <si>
    <t>Kontrola dostępu do poczty i urządzeń; silne uwierzytelnianie; zabezpieczenie urządzeń; zasady przesyłania danych medycznych; usuwanie zbędnej korespondencji zgodnie z retencją</t>
  </si>
  <si>
    <t>Realizacja obowiązków wobec uprawnionych organów; obsługa skarg i roszczeń; ustalenie, dochodzenie lub obrona przed roszczeniami związanymi z działalnością leczniczą</t>
  </si>
  <si>
    <t>Pacjenci; przedstawiciele; osoby zgłaszające roszczenia/skargi; świadkowie; inne osoby związane ze sprawą</t>
  </si>
  <si>
    <t>Dane identyfikacyjne i kontaktowe; dokumentacja medyczna; dane dotyczące zdrowia; dane dotyczące zdarzenia, skargi, roszczenia lub postępowania; korespondencja</t>
  </si>
  <si>
    <t>Art. 6 ust. 1 lit. c i/lub f RODO; dla danych szczególnych m.in. art. 9 ust. 2 lit. f RODO w zakresie ustalania, dochodzenia lub obrony roszczeń oraz właściwe przepisy szczególne</t>
  </si>
  <si>
    <t>Dokumentacja własna; pacjent; przedstawiciel; organy; ubezpieczyciel; inne osoby uczestniczące w sprawie</t>
  </si>
  <si>
    <r>
      <t xml:space="preserve">Przez okres wymagany przepisami oraz okres niezbędny do ustalenia, dochodzenia lub obrony roszczeń; </t>
    </r>
    <r>
      <rPr>
        <b/>
        <sz val="11"/>
        <color theme="1"/>
        <rFont val="Calibri"/>
        <family val="2"/>
        <charset val="238"/>
        <scheme val="minor"/>
      </rPr>
      <t>[konkretne okresy do określenia zależnie od rodzaju sprawy]</t>
    </r>
  </si>
  <si>
    <t>Ograniczenie dostępu do osób uczestniczących w sprawie; bezpieczne przekazywanie dokumentacji; zabezpieczenie dokumentów i urządzeń; kontrola dostępu i poufności</t>
  </si>
  <si>
    <t>Dokumentacja odpowiednich zabezpieczeń przy transferze</t>
  </si>
  <si>
    <t>Art. 30 ust. 1 pkt e; art. 49 ust. 1 a 2</t>
  </si>
  <si>
    <t>Kontrola dostępu; indywidualne konta; uwierzytelnianie; ograniczenie dostępu do niezbędnego zakresu; zabezpieczenie urządzeń i transmisji; kopie/odtwarzalność stosownie do systemu; procedury organizacyjne; ze szczególnym uwzględnieniem poufności danych medycznych, kontroli uprawnień, integralności, dostępności, odtwarzalności i zabezpieczenia urządzeń</t>
  </si>
  <si>
    <t>Zakres przetwarzania</t>
  </si>
  <si>
    <t>PROC-01</t>
  </si>
  <si>
    <t>ubezpieczyciele, pełnomocnicy prawni, inne podmioty uprawnione do otrzymania danych niebędące organami publicznymi korzystającymi z wyjątku art. 4 pkt 9 RODO</t>
  </si>
  <si>
    <t>ADM-01</t>
  </si>
  <si>
    <t>SYS-01</t>
  </si>
  <si>
    <t>Znaczenie</t>
  </si>
  <si>
    <t>system przetwarzania i ewidencjonowania dokumentacji medycznej</t>
  </si>
  <si>
    <t>UPO-01</t>
  </si>
  <si>
    <t>dla każdego procesora osobno</t>
  </si>
  <si>
    <t>Rejestr osób upoważnionych</t>
  </si>
  <si>
    <t>Rejestr współadministratorów</t>
  </si>
  <si>
    <t>Rejestr systemów przetwarzania danych</t>
  </si>
  <si>
    <t>Rejestr czynności przetwarzania</t>
  </si>
  <si>
    <t>Aktywność</t>
  </si>
  <si>
    <t>INF-01</t>
  </si>
  <si>
    <t>INF-02</t>
  </si>
  <si>
    <t>INF-03</t>
  </si>
  <si>
    <t>DOC-01</t>
  </si>
  <si>
    <t>DOC-02</t>
  </si>
  <si>
    <t>DOC-03</t>
  </si>
  <si>
    <t>DOC-04</t>
  </si>
  <si>
    <t>DOC-05</t>
  </si>
  <si>
    <t>DOC-06</t>
  </si>
  <si>
    <t>DOC-07</t>
  </si>
  <si>
    <t>DOC-08</t>
  </si>
  <si>
    <t>DOC-09</t>
  </si>
  <si>
    <t>DOC-10</t>
  </si>
  <si>
    <t>DOC-11</t>
  </si>
  <si>
    <t>DOC-12</t>
  </si>
  <si>
    <t>DOC-13</t>
  </si>
  <si>
    <t>DOC-14</t>
  </si>
  <si>
    <t>DOC-15</t>
  </si>
  <si>
    <t>DOC-16</t>
  </si>
  <si>
    <t>DOC-17</t>
  </si>
  <si>
    <t>DOC-18</t>
  </si>
  <si>
    <t>DOC-19</t>
  </si>
  <si>
    <t>DOC-20</t>
  </si>
  <si>
    <t>DOC-21</t>
  </si>
  <si>
    <t>LOG-01</t>
  </si>
  <si>
    <t>LOG-02</t>
  </si>
  <si>
    <t>LOG-03</t>
  </si>
  <si>
    <t>LOG-04</t>
  </si>
  <si>
    <t>LOG-05</t>
  </si>
  <si>
    <t>LOG-06</t>
  </si>
  <si>
    <t>LOG-07</t>
  </si>
  <si>
    <t>LOG-08</t>
  </si>
  <si>
    <t>LOG-09</t>
  </si>
  <si>
    <t>LOG-10</t>
  </si>
  <si>
    <t>LOG-11</t>
  </si>
  <si>
    <t>LOG-12</t>
  </si>
  <si>
    <t>KCP-01</t>
  </si>
  <si>
    <t>KCP-02</t>
  </si>
  <si>
    <t>KCP-03</t>
  </si>
  <si>
    <t>KCP-04</t>
  </si>
  <si>
    <t>KCP-05</t>
  </si>
  <si>
    <t>KCP-06</t>
  </si>
  <si>
    <t>KCP-07</t>
  </si>
  <si>
    <t>KCP-08</t>
  </si>
  <si>
    <t>KCP-09</t>
  </si>
  <si>
    <t>KCP-10</t>
  </si>
  <si>
    <t>KCP-11</t>
  </si>
  <si>
    <t>KCP-12</t>
  </si>
  <si>
    <t>KCP-13</t>
  </si>
  <si>
    <t>KCP-14</t>
  </si>
  <si>
    <t>KCP-15</t>
  </si>
  <si>
    <t>Opis aplikacji</t>
  </si>
  <si>
    <t>Nazwa aplikacji</t>
  </si>
  <si>
    <t>Data publikacji</t>
  </si>
  <si>
    <t>Cel aplikacji</t>
  </si>
  <si>
    <t>RODO.xlsx</t>
  </si>
  <si>
    <t>Aplikacja RODO.xlsx służy do gromadzenia i zarządzania dokumentacją związaną z przetwarzaniem danych medycznych pacjentów</t>
  </si>
  <si>
    <t>Przyjęte konwencje</t>
  </si>
  <si>
    <t>HLP_INT</t>
  </si>
  <si>
    <t>SYS-02</t>
  </si>
  <si>
    <t>telefon</t>
  </si>
  <si>
    <t>usługi telekomunikacyjne</t>
  </si>
  <si>
    <t>email</t>
  </si>
  <si>
    <t>poczta</t>
  </si>
  <si>
    <t>SYS-03</t>
  </si>
  <si>
    <t>SYS-04</t>
  </si>
  <si>
    <t>SYS-05</t>
  </si>
  <si>
    <t>prowadzenie rozliczeń z pacjentami</t>
  </si>
  <si>
    <t>system finansowo księgowy</t>
  </si>
  <si>
    <t>Brak danych</t>
  </si>
  <si>
    <t>nie wymagany</t>
  </si>
  <si>
    <t>Tylko jeśli dotyczy</t>
  </si>
  <si>
    <t xml:space="preserve">Tylko jeśli dotyczy </t>
  </si>
  <si>
    <t>Słownik kategorii czynności przetwarzania</t>
  </si>
  <si>
    <t>Ustawienia konfiguracyjne aplikacji</t>
  </si>
  <si>
    <t>Rejestr systemów przetwarzania</t>
  </si>
  <si>
    <t>Przypisanie: systemów - czynnościom przetwarzania</t>
  </si>
  <si>
    <t>Przypisanie: procesorów - czynnościom przetwarzania</t>
  </si>
  <si>
    <t>Przypisanie: współadministratorów - czynnościom przetwarzania</t>
  </si>
  <si>
    <t>2.0</t>
  </si>
  <si>
    <t>Dziennik zdarzeń dotyczących przetwarzania danych</t>
  </si>
  <si>
    <t>INC -1</t>
  </si>
  <si>
    <t>Typ zdarzenia</t>
  </si>
  <si>
    <t>Przyczyna</t>
  </si>
  <si>
    <t>Przykład</t>
  </si>
  <si>
    <t>Data/czas zdarzenia</t>
  </si>
  <si>
    <t>Data/czas wykrycia</t>
  </si>
  <si>
    <t>Opis / okoliczności</t>
  </si>
  <si>
    <t>Liczba osób</t>
  </si>
  <si>
    <t>Liczba rekordów/dokumentów</t>
  </si>
  <si>
    <t>Skutki / możliwe konsekwencje</t>
  </si>
  <si>
    <t>Ocena ryzyka dla osób</t>
  </si>
  <si>
    <t>Uzasadnienie oceny</t>
  </si>
  <si>
    <t>Działania natychmiastowe</t>
  </si>
  <si>
    <t>Działania zaradcze</t>
  </si>
  <si>
    <t>Zgłoszenie do PUODO</t>
  </si>
  <si>
    <t>Uzasadnienie braku zgłoszenia</t>
  </si>
  <si>
    <t>Data zgłoszenia</t>
  </si>
  <si>
    <t>Zawiadomienie osoby</t>
  </si>
  <si>
    <t>Uzasadnienie decyzji</t>
  </si>
  <si>
    <t>Powiązane dokumenty</t>
  </si>
  <si>
    <t>Incydent bezpieczeństwa</t>
  </si>
  <si>
    <t>Zdarzenie mogące mieć wpływ na bezpieczeństwo danych, ale niezakwalifikowane jako naruszenie</t>
  </si>
  <si>
    <t>podejrzana aktywność konta</t>
  </si>
  <si>
    <t>Stwierdzone naruszenie poufności, integralności lub dostępności</t>
  </si>
  <si>
    <t>dokument udostępniony niewłaściwej osobie</t>
  </si>
  <si>
    <t>Żądanie osoby</t>
  </si>
  <si>
    <t>Realizacja praw osoby z RODO</t>
  </si>
  <si>
    <t>żądanie dostępu do danych</t>
  </si>
  <si>
    <t>Udostępnienie danych</t>
  </si>
  <si>
    <t>Przekazanie danych uprawnionemu podmiotowi</t>
  </si>
  <si>
    <t>przekazanie dokumentacji pacjentowi / uprawnionemu organowi</t>
  </si>
  <si>
    <t>Kontrola / audyt</t>
  </si>
  <si>
    <t>Kontrola wewnętrzna lub zewnętrzna</t>
  </si>
  <si>
    <t>kontrola UODO, okresowy audyt</t>
  </si>
  <si>
    <t>Działanie korygujące / zapobiegawcze</t>
  </si>
  <si>
    <t>Zmiana wynikająca z incydentu, audytu, analizy ryzyka itp.</t>
  </si>
  <si>
    <t>zmiana uprawnień użytkowników</t>
  </si>
  <si>
    <t>Przegląd</t>
  </si>
  <si>
    <t>Okresowa weryfikacja elementu systemu ochrony danych</t>
  </si>
  <si>
    <t>przegląd upoważnień, RCP, procesorów</t>
  </si>
  <si>
    <t>Zmiana organizacyjna / techniczna</t>
  </si>
  <si>
    <t>Istotna zmiana mająca znaczenie dla ochrony danych</t>
  </si>
  <si>
    <t>wdrożenie nowego systemu, zmiana procesora</t>
  </si>
  <si>
    <t>Szkolenie / upoważnienie</t>
  </si>
  <si>
    <t>Zdarzenia związane z personelem</t>
  </si>
  <si>
    <t>szkolenie, nadanie/cofnięcie upoważnienia</t>
  </si>
  <si>
    <t>Istotne zdarzenie niepasujące do powyższych</t>
  </si>
  <si>
    <t>przypadek nietypowy</t>
  </si>
  <si>
    <t>Słownik zdarzeń ochrony danych</t>
  </si>
  <si>
    <t>Dokumentacja</t>
  </si>
  <si>
    <t>Dane</t>
  </si>
  <si>
    <t>Zabezpieczenia</t>
  </si>
  <si>
    <t>Bezpieczeństwo</t>
  </si>
  <si>
    <t>Backup</t>
  </si>
  <si>
    <t>Archiwizacja</t>
  </si>
  <si>
    <t>Generowanie z szablonu</t>
  </si>
  <si>
    <t>Aktualizacja dokumentacji</t>
  </si>
  <si>
    <t>Aktualizacja zabezpieczeń</t>
  </si>
  <si>
    <t>Usuwanie danych</t>
  </si>
  <si>
    <t>Nieuprawniony dostęp</t>
  </si>
  <si>
    <t>ktoś uzyskał dostęp do konta MyDr</t>
  </si>
  <si>
    <t>Nieuprawnione ujawnienie / udostępnienie</t>
  </si>
  <si>
    <t>dokumentacja trafiła do niewłaściwego pacjenta</t>
  </si>
  <si>
    <t>Utrata danych/nośnika</t>
  </si>
  <si>
    <t>zgubiony laptop, pendrive, dokumentacja papierowa</t>
  </si>
  <si>
    <t>Kradzież danych/nośnika</t>
  </si>
  <si>
    <t>skradziony komputer lub dokumentacja</t>
  </si>
  <si>
    <t>Zniszczenie/usunięcie danych</t>
  </si>
  <si>
    <t>przypadkowe skasowanie dokumentacji</t>
  </si>
  <si>
    <t>Nieuprawniona modyfikacja</t>
  </si>
  <si>
    <t>zmiana danych przez osobę nieuprawnioną</t>
  </si>
  <si>
    <t>Utrata dostępności</t>
  </si>
  <si>
    <t>dane/system stały się niedostępne</t>
  </si>
  <si>
    <t>Błędne przetwarzanie/przekazanie</t>
  </si>
  <si>
    <t>np. dane niewłaściwego pacjenta w dokumencie</t>
  </si>
  <si>
    <t>Cyberatak</t>
  </si>
  <si>
    <t>malware, ransomware, włamanie prowadzące do naruszenia</t>
  </si>
  <si>
    <t>Inne naruszenie</t>
  </si>
  <si>
    <t>Inne zdarzenie</t>
  </si>
  <si>
    <t>EVNT-01</t>
  </si>
  <si>
    <t>EVNT-02</t>
  </si>
  <si>
    <t>EVNT-03</t>
  </si>
  <si>
    <t>EVNT-04</t>
  </si>
  <si>
    <t>EVNT-05</t>
  </si>
  <si>
    <t>EVNT-06</t>
  </si>
  <si>
    <t>EVNT-07</t>
  </si>
  <si>
    <t>EVNT-08</t>
  </si>
  <si>
    <t>EVNT-09</t>
  </si>
  <si>
    <t>EVNT-10</t>
  </si>
  <si>
    <t>EVNT-11</t>
  </si>
  <si>
    <t>EVNT-12</t>
  </si>
  <si>
    <t>EVNT-13</t>
  </si>
  <si>
    <t>EVNT-14</t>
  </si>
  <si>
    <t>EVNT-15</t>
  </si>
  <si>
    <t>EVNT-16</t>
  </si>
  <si>
    <t>EVNT-17</t>
  </si>
  <si>
    <t>EVNT-18</t>
  </si>
  <si>
    <t>EVNT-19</t>
  </si>
  <si>
    <t>EVNT-20</t>
  </si>
  <si>
    <t>EVNT-21</t>
  </si>
  <si>
    <t>EVNT-22</t>
  </si>
  <si>
    <t>EVNT-23</t>
  </si>
  <si>
    <t>EVNT-24</t>
  </si>
  <si>
    <t>EVNT-25</t>
  </si>
  <si>
    <t>celowe usunięcie danych wynikające z procesu</t>
  </si>
  <si>
    <t>HLP_SEC</t>
  </si>
  <si>
    <t>HLP_DAT</t>
  </si>
  <si>
    <t>Kolumna pomocnicza (nie kasować)</t>
  </si>
  <si>
    <t>Poufność</t>
  </si>
  <si>
    <t>Integralność</t>
  </si>
  <si>
    <t>Otwarte</t>
  </si>
  <si>
    <t>Zamknięte</t>
  </si>
  <si>
    <t>CFG-01</t>
  </si>
  <si>
    <t>CFG-02</t>
  </si>
  <si>
    <t>CFG-03</t>
  </si>
  <si>
    <t>CFG-04</t>
  </si>
  <si>
    <t>CFG-05</t>
  </si>
  <si>
    <t>CFG-06</t>
  </si>
  <si>
    <t>CFG-07</t>
  </si>
  <si>
    <t>CFG-08</t>
  </si>
  <si>
    <t>CFG-09</t>
  </si>
  <si>
    <t>CFG-10</t>
  </si>
  <si>
    <t>CFG-11</t>
  </si>
  <si>
    <t>CFG-12</t>
  </si>
  <si>
    <t>Niskie</t>
  </si>
  <si>
    <t>Średnie</t>
  </si>
  <si>
    <t>Wysokie</t>
  </si>
  <si>
    <t>Dla ryzyka co najmniej średniego obowiązkowe</t>
  </si>
  <si>
    <t>Dla ryzyka wysokiego obowiązkowe</t>
  </si>
  <si>
    <t>Wymagane</t>
  </si>
  <si>
    <t>Nie wymagane</t>
  </si>
  <si>
    <t>CFG-13</t>
  </si>
  <si>
    <t>CFG-14</t>
  </si>
  <si>
    <t>Typ</t>
  </si>
  <si>
    <t>jeśli zachodzi</t>
  </si>
  <si>
    <t>tygodniowo</t>
  </si>
  <si>
    <t>miesięcznie</t>
  </si>
  <si>
    <t>kwartalnie</t>
  </si>
  <si>
    <t>półrocznie</t>
  </si>
  <si>
    <t>rocznie</t>
  </si>
  <si>
    <t>CFG-15</t>
  </si>
  <si>
    <t>Dotyczy</t>
  </si>
  <si>
    <t>CFG-16</t>
  </si>
  <si>
    <t>CMP-01</t>
  </si>
  <si>
    <t>CMP-02</t>
  </si>
  <si>
    <t>Rejestr obowiązków zgodności</t>
  </si>
  <si>
    <t>Działanie</t>
  </si>
  <si>
    <t>Wymaganie</t>
  </si>
  <si>
    <t>Od</t>
  </si>
  <si>
    <t>Do</t>
  </si>
  <si>
    <t>Brak</t>
  </si>
  <si>
    <t>Nie aktywny</t>
  </si>
  <si>
    <t>Aktywny</t>
  </si>
  <si>
    <t>Rejestr dokumentów</t>
  </si>
  <si>
    <t>Ocena, czy potrzebna jest DPIA</t>
  </si>
  <si>
    <t>przy zdarzeniu</t>
  </si>
  <si>
    <t>ciągle</t>
  </si>
  <si>
    <t>indywidualnie</t>
  </si>
  <si>
    <t>zmiana</t>
  </si>
  <si>
    <t>Klauzula informacyjna dla innych osób, np. kontrahentów</t>
  </si>
  <si>
    <t>Wzór upoważnienia pacjentów dla osób trzecich</t>
  </si>
  <si>
    <t>Inne procedury</t>
  </si>
  <si>
    <t>jeśli istnieją</t>
  </si>
  <si>
    <t>jeśli istnieją osoby przetwarzające dane w imieniu administratora</t>
  </si>
  <si>
    <t>DOC-22</t>
  </si>
  <si>
    <t>DOC-23</t>
  </si>
  <si>
    <t>CMP-03</t>
  </si>
  <si>
    <t>CMP-04</t>
  </si>
  <si>
    <t>CMP-05</t>
  </si>
  <si>
    <t>CMP-06</t>
  </si>
  <si>
    <t>CMP-07</t>
  </si>
  <si>
    <t>CMP-08</t>
  </si>
  <si>
    <t>CMP-09</t>
  </si>
  <si>
    <t>CMP-10</t>
  </si>
  <si>
    <t>CMP-11</t>
  </si>
  <si>
    <t>CMP-12</t>
  </si>
  <si>
    <t>CMP-13</t>
  </si>
  <si>
    <t>CMP-14</t>
  </si>
  <si>
    <t>CMP-15</t>
  </si>
  <si>
    <t>CMP-16</t>
  </si>
  <si>
    <t>CMP-17</t>
  </si>
  <si>
    <t>CMP-18</t>
  </si>
  <si>
    <t>CMP-19</t>
  </si>
  <si>
    <t>CMP-20</t>
  </si>
  <si>
    <t>CMP-21</t>
  </si>
  <si>
    <t>CMP-22</t>
  </si>
  <si>
    <t>CMP-23</t>
  </si>
  <si>
    <t>CMP-24</t>
  </si>
  <si>
    <t>CMP-25</t>
  </si>
  <si>
    <t>CMP-26</t>
  </si>
  <si>
    <t>CMP-27</t>
  </si>
  <si>
    <t>CMP-28</t>
  </si>
  <si>
    <t>CMP-29</t>
  </si>
  <si>
    <t>CMP-30</t>
  </si>
  <si>
    <t>CMP-31</t>
  </si>
  <si>
    <t>CMP-32</t>
  </si>
  <si>
    <t>CMP-33</t>
  </si>
  <si>
    <t>CMP-34</t>
  </si>
  <si>
    <t>CMP-35</t>
  </si>
  <si>
    <t>CMP-36</t>
  </si>
  <si>
    <t>CMP-37</t>
  </si>
  <si>
    <t>CMP-38</t>
  </si>
  <si>
    <t>CMP-39</t>
  </si>
  <si>
    <t>CMP-40</t>
  </si>
  <si>
    <t>CMP-41</t>
  </si>
  <si>
    <t>CMP-42</t>
  </si>
  <si>
    <t>CMP-43</t>
  </si>
  <si>
    <t>CMP-44</t>
  </si>
  <si>
    <t>CMP-45</t>
  </si>
  <si>
    <t>CMP-46</t>
  </si>
  <si>
    <t>CMP-47</t>
  </si>
  <si>
    <t>CMP-48</t>
  </si>
  <si>
    <t>CMP-49</t>
  </si>
  <si>
    <t>CMP-50</t>
  </si>
  <si>
    <t>CMP-51</t>
  </si>
  <si>
    <t>CMP-52</t>
  </si>
  <si>
    <t>CMP-53</t>
  </si>
  <si>
    <t>CMP-54</t>
  </si>
  <si>
    <t>CMP-55</t>
  </si>
  <si>
    <t>CMP-56</t>
  </si>
  <si>
    <t>CMP-57</t>
  </si>
  <si>
    <t>CMP-58</t>
  </si>
  <si>
    <t>Kontrola / aktualizacja / wytworzenie</t>
  </si>
  <si>
    <t>Zweryfikowany</t>
  </si>
  <si>
    <t>✔</t>
  </si>
  <si>
    <r>
      <t xml:space="preserve">Kolumny tabel oznaczone kolorem </t>
    </r>
    <r>
      <rPr>
        <b/>
        <sz val="11"/>
        <color rgb="FFC00000"/>
        <rFont val="Calibri"/>
        <family val="2"/>
        <charset val="238"/>
        <scheme val="minor"/>
      </rPr>
      <t>bordowym</t>
    </r>
    <r>
      <rPr>
        <sz val="11"/>
        <color theme="1"/>
        <rFont val="Calibri"/>
        <family val="2"/>
        <charset val="238"/>
        <scheme val="minor"/>
      </rPr>
      <t xml:space="preserve"> są obowiązkowe</t>
    </r>
  </si>
  <si>
    <r>
      <t xml:space="preserve">Tabele z </t>
    </r>
    <r>
      <rPr>
        <b/>
        <sz val="11"/>
        <color theme="1"/>
        <rFont val="Calibri"/>
        <family val="2"/>
        <charset val="238"/>
        <scheme val="minor"/>
      </rPr>
      <t>czarnym</t>
    </r>
    <r>
      <rPr>
        <sz val="11"/>
        <color theme="1"/>
        <rFont val="Calibri"/>
        <family val="2"/>
        <charset val="238"/>
        <scheme val="minor"/>
      </rPr>
      <t xml:space="preserve"> tłem służą do przechowywania danych konfiguracyjnych oraz słowników aplikacji.</t>
    </r>
  </si>
  <si>
    <r>
      <t xml:space="preserve">Wszystkie dokumenty wewnętrzne przechowywane są w formie tabel z </t>
    </r>
    <r>
      <rPr>
        <b/>
        <sz val="11"/>
        <color theme="4"/>
        <rFont val="Calibri"/>
        <family val="2"/>
        <charset val="238"/>
        <scheme val="minor"/>
      </rPr>
      <t>niebieskim</t>
    </r>
    <r>
      <rPr>
        <sz val="11"/>
        <color theme="1"/>
        <rFont val="Calibri"/>
        <family val="2"/>
        <charset val="238"/>
        <scheme val="minor"/>
      </rPr>
      <t xml:space="preserve"> tłem.</t>
    </r>
  </si>
  <si>
    <t>Wzór upoważnienia do przetwarzania</t>
  </si>
  <si>
    <t>Dokument normatywny</t>
  </si>
  <si>
    <t>Rejestr danych</t>
  </si>
  <si>
    <t>Rejestr relacji</t>
  </si>
  <si>
    <t>Checklista</t>
  </si>
  <si>
    <t>Szablon</t>
  </si>
  <si>
    <t>Dokument indywidualny</t>
  </si>
  <si>
    <t>CMP-59</t>
  </si>
  <si>
    <t>Słownik scenariuszy ryzyka</t>
  </si>
  <si>
    <t>RISK-01</t>
  </si>
  <si>
    <t>RISK-02</t>
  </si>
  <si>
    <t>RISK-03</t>
  </si>
  <si>
    <t>RISK-04</t>
  </si>
  <si>
    <t>RISK-05</t>
  </si>
  <si>
    <t>RISK-06</t>
  </si>
  <si>
    <t>RISK-07</t>
  </si>
  <si>
    <t>RISK-08</t>
  </si>
  <si>
    <t>RISK-09</t>
  </si>
  <si>
    <t>RISK-10</t>
  </si>
  <si>
    <t>RISK-11</t>
  </si>
  <si>
    <t>RISK-12</t>
  </si>
  <si>
    <t>RISK-13</t>
  </si>
  <si>
    <t>RISK-14</t>
  </si>
  <si>
    <t>RISK-15</t>
  </si>
  <si>
    <t>RISK-16</t>
  </si>
  <si>
    <t>RISK-17</t>
  </si>
  <si>
    <t>RISK-18</t>
  </si>
  <si>
    <t>RISK-19</t>
  </si>
  <si>
    <t>RISK-20</t>
  </si>
  <si>
    <t>RISK-21</t>
  </si>
  <si>
    <t>RISK-22</t>
  </si>
  <si>
    <t>RISK-23</t>
  </si>
  <si>
    <t>RISK-24</t>
  </si>
  <si>
    <t>RISK-25</t>
  </si>
  <si>
    <t>RISK-26</t>
  </si>
  <si>
    <t>RISK-27</t>
  </si>
  <si>
    <t>RISK-28</t>
  </si>
  <si>
    <t>RISK-29</t>
  </si>
  <si>
    <t>RISK-30</t>
  </si>
  <si>
    <t>RISK-31</t>
  </si>
  <si>
    <t>RISK-32</t>
  </si>
  <si>
    <t>RISK-33</t>
  </si>
  <si>
    <t>RISK-34</t>
  </si>
  <si>
    <t>RISK-35</t>
  </si>
  <si>
    <t>RISK-36</t>
  </si>
  <si>
    <t>RISK-37</t>
  </si>
  <si>
    <t>RISK-38</t>
  </si>
  <si>
    <t>RISK-39</t>
  </si>
  <si>
    <t>RISK-40</t>
  </si>
  <si>
    <t>RISK-41</t>
  </si>
  <si>
    <t>RISK-42</t>
  </si>
  <si>
    <t>Zdarzenie</t>
  </si>
  <si>
    <t>System przetwarzania danych</t>
  </si>
  <si>
    <t>Naruszenia</t>
  </si>
  <si>
    <t>wyłudzenie danych logowania / przejęcie konta</t>
  </si>
  <si>
    <t>nieuprawniony dostęp / działanie złośliwego oprogramowania</t>
  </si>
  <si>
    <t>zaszyfrowanie danych/systemu</t>
  </si>
  <si>
    <t>utrata urządzenia</t>
  </si>
  <si>
    <t>nieuprawniony dostęp do dokumentacji</t>
  </si>
  <si>
    <t>utrata lub modyfikacja danych</t>
  </si>
  <si>
    <t>niedostępność systemu</t>
  </si>
  <si>
    <t>błędna konfiguracja uprawnień</t>
  </si>
  <si>
    <t>nieuprawniony dostęp / wyciek danych</t>
  </si>
  <si>
    <t>przechwycenie lub modyfikacja transmisji</t>
  </si>
  <si>
    <t>phishing / DNS spoofing</t>
  </si>
  <si>
    <t>przekierowanie do fałszywego systemu</t>
  </si>
  <si>
    <t>przerwanie komunikacji</t>
  </si>
  <si>
    <t>nieuprawnione udostępnienie danych</t>
  </si>
  <si>
    <t>odczyt dokumentacji przez osobę nieuprawnioną</t>
  </si>
  <si>
    <t>nieuprawniony dostęp do korespondencji</t>
  </si>
  <si>
    <t>pozostawienie dokumentu bez zabezpieczenia</t>
  </si>
  <si>
    <t>dostęp osoby nieuprawnionej do dokumentu</t>
  </si>
  <si>
    <t>utrata dokumentacji</t>
  </si>
  <si>
    <t>zgubienie pendrive'a/dysku</t>
  </si>
  <si>
    <t>utrata nośnika</t>
  </si>
  <si>
    <t>brak możliwości odczytu</t>
  </si>
  <si>
    <t>błędne przetwarzanie danych</t>
  </si>
  <si>
    <t>nieuprawniony dostęp do danych</t>
  </si>
  <si>
    <t>kradzież / nieuprawnione pozyskanie danych</t>
  </si>
  <si>
    <t>obecność osoby postronnej</t>
  </si>
  <si>
    <t>nieuprawniony dostęp do dokumentów / komputera</t>
  </si>
  <si>
    <t>utrata sprzętu / dokumentacji</t>
  </si>
  <si>
    <t>zniszczenie sprzętu lub dokumentacji</t>
  </si>
  <si>
    <t>nieudane odtworzenie danych</t>
  </si>
  <si>
    <t>kopia dostępna z tego samego systemu</t>
  </si>
  <si>
    <t>zaszyfrowanie / zniszczenie kopii wraz z danymi źródłowymi</t>
  </si>
  <si>
    <t>nieskuteczne odtworzenie danych</t>
  </si>
  <si>
    <t>błędna identyfikacja pacjenta / odbiorcy</t>
  </si>
  <si>
    <t>wydanie dokumentacji niewłaściwej osobie</t>
  </si>
  <si>
    <t>błędny adres / e-mail</t>
  </si>
  <si>
    <t>przekazanie dokumentacji niewłaściwemu odbiorcy</t>
  </si>
  <si>
    <t>niewłaściwe określenie zakresu</t>
  </si>
  <si>
    <t>udostępnienie nadmiernego zakresu danych</t>
  </si>
  <si>
    <t>wprowadzenie błędnych danych</t>
  </si>
  <si>
    <t>przypisanie wpisu do niewłaściwego pacjenta</t>
  </si>
  <si>
    <t>nieuprawniony dostęp / działanie osoby nieuprawnionej</t>
  </si>
  <si>
    <t>nieautoryzowana zmiana dokumentacji</t>
  </si>
  <si>
    <t>niedostępność urządzeń/systemu</t>
  </si>
  <si>
    <t>niedostępność usługi</t>
  </si>
  <si>
    <t>Naruszenie integralności</t>
  </si>
  <si>
    <t>Naruszenie poufności</t>
  </si>
  <si>
    <t>Naruszenie dostępu</t>
  </si>
  <si>
    <t xml:space="preserve">Analiza ryzyka ochrony danych </t>
  </si>
  <si>
    <t>Prawdopodobieństwo</t>
  </si>
  <si>
    <t>Wpływ</t>
  </si>
  <si>
    <t>Ryzyko rezydualne</t>
  </si>
  <si>
    <t>Akceptacja</t>
  </si>
  <si>
    <r>
      <t xml:space="preserve">Kolumny tabel oznaczone kolorem </t>
    </r>
    <r>
      <rPr>
        <b/>
        <sz val="11"/>
        <color theme="7"/>
        <rFont val="Calibri"/>
        <family val="2"/>
        <charset val="238"/>
        <scheme val="minor"/>
      </rPr>
      <t>żółtym</t>
    </r>
    <r>
      <rPr>
        <sz val="11"/>
        <color theme="1"/>
        <rFont val="Calibri"/>
        <family val="2"/>
        <charset val="238"/>
        <scheme val="minor"/>
      </rPr>
      <t xml:space="preserve"> są wypełniane automatycznie</t>
    </r>
  </si>
  <si>
    <t>Key</t>
  </si>
  <si>
    <t>Sort</t>
  </si>
  <si>
    <t>OBJ ID</t>
  </si>
  <si>
    <t>rng\Choice.YesNo</t>
  </si>
  <si>
    <t>rng\Document.Location</t>
  </si>
  <si>
    <t>rng\Document.Class</t>
  </si>
  <si>
    <t>rng\Choice.YesNoNA</t>
  </si>
  <si>
    <t>var\Symbol.NoData</t>
  </si>
  <si>
    <t>rng\DPIA</t>
  </si>
  <si>
    <t>var\Symbol.NotApplicable</t>
  </si>
  <si>
    <t>rng\Area</t>
  </si>
  <si>
    <t>rng\Breach</t>
  </si>
  <si>
    <t>rng\Breach.Status</t>
  </si>
  <si>
    <t>rng\Document.Type</t>
  </si>
  <si>
    <t>rng\Schedule</t>
  </si>
  <si>
    <t>rng\Schedule.Status</t>
  </si>
  <si>
    <t>rng\Compliance.Type</t>
  </si>
  <si>
    <t>rng\Symbol.OkNo</t>
  </si>
  <si>
    <t>rng\Symbol.OkNoE</t>
  </si>
  <si>
    <t>rng\Security.Areas</t>
  </si>
  <si>
    <t>OBJ-01</t>
  </si>
  <si>
    <t>OBJ-02</t>
  </si>
  <si>
    <t>OBJ-03</t>
  </si>
  <si>
    <t>OBJ-04</t>
  </si>
  <si>
    <t>OBJ-05</t>
  </si>
  <si>
    <t>OBJ-06</t>
  </si>
  <si>
    <t>OBJ-07</t>
  </si>
  <si>
    <t>OBJ-08</t>
  </si>
  <si>
    <t>OBJ-09</t>
  </si>
  <si>
    <t>OBJ-10</t>
  </si>
  <si>
    <t>OBJ-11</t>
  </si>
  <si>
    <t>OBJ-12</t>
  </si>
  <si>
    <t>OBJ-13</t>
  </si>
  <si>
    <t>OBJ-14</t>
  </si>
  <si>
    <t>OBJ-15</t>
  </si>
  <si>
    <t>OBJ-16</t>
  </si>
  <si>
    <t>OBJ-17</t>
  </si>
  <si>
    <t>OBJ-18</t>
  </si>
  <si>
    <t>OBJ-19</t>
  </si>
  <si>
    <t>OBJ-20</t>
  </si>
  <si>
    <t>rng\Role</t>
  </si>
  <si>
    <t>rng\Role.Status</t>
  </si>
  <si>
    <t>rng\Risk.Areas</t>
  </si>
  <si>
    <t>rng\Risk.Level</t>
  </si>
  <si>
    <t>var\Application.Version</t>
  </si>
  <si>
    <t>var\Application.Date</t>
  </si>
  <si>
    <t>var\Application.Name</t>
  </si>
  <si>
    <t>OBJ-21</t>
  </si>
  <si>
    <t>OBJ-22</t>
  </si>
  <si>
    <t>OBJ-23</t>
  </si>
  <si>
    <t>RODO</t>
  </si>
  <si>
    <r>
      <t xml:space="preserve">Kolumny tabel oznaczone kolorem </t>
    </r>
    <r>
      <rPr>
        <b/>
        <sz val="11"/>
        <color theme="1" tint="0.499984740745262"/>
        <rFont val="Calibri"/>
        <family val="2"/>
        <charset val="238"/>
        <scheme val="minor"/>
      </rPr>
      <t>szarym</t>
    </r>
    <r>
      <rPr>
        <sz val="11"/>
        <color theme="1"/>
        <rFont val="Calibri"/>
        <family val="2"/>
        <charset val="238"/>
        <scheme val="minor"/>
      </rPr>
      <t xml:space="preserve"> są kolumnami pomocniczymi</t>
    </r>
  </si>
  <si>
    <t>CFG-17</t>
  </si>
  <si>
    <t>CFG-18</t>
  </si>
  <si>
    <t>CFG-19</t>
  </si>
  <si>
    <t>CFG-20</t>
  </si>
  <si>
    <t>CFG-21</t>
  </si>
  <si>
    <t>CFG-22</t>
  </si>
  <si>
    <t>CFG-23</t>
  </si>
  <si>
    <t>CFG-24</t>
  </si>
  <si>
    <t>CFG-25</t>
  </si>
  <si>
    <t>CFG-26</t>
  </si>
  <si>
    <t>CFG-27</t>
  </si>
  <si>
    <t>CFG-28</t>
  </si>
  <si>
    <t>CFG-29</t>
  </si>
  <si>
    <t>CFG-30</t>
  </si>
  <si>
    <t>CFG-31</t>
  </si>
  <si>
    <t>CFG-32</t>
  </si>
  <si>
    <t>CFG-33</t>
  </si>
  <si>
    <t>CFG-34</t>
  </si>
  <si>
    <t>CFG-35</t>
  </si>
  <si>
    <t>CFG-36</t>
  </si>
  <si>
    <t>CFG-37</t>
  </si>
  <si>
    <t>CFG-38</t>
  </si>
  <si>
    <t>CFG-39</t>
  </si>
  <si>
    <t>CFG-40</t>
  </si>
  <si>
    <t>CFG-41</t>
  </si>
  <si>
    <t>CFG-42</t>
  </si>
  <si>
    <t>CFG-43</t>
  </si>
  <si>
    <t>CFG-44</t>
  </si>
  <si>
    <t>CFG-45</t>
  </si>
  <si>
    <t>CFG-46</t>
  </si>
  <si>
    <t>CFG-47</t>
  </si>
  <si>
    <t>CFG-48</t>
  </si>
  <si>
    <t>CFG-49</t>
  </si>
  <si>
    <t>CFG-50</t>
  </si>
  <si>
    <t>CFG-51</t>
  </si>
  <si>
    <t>CFG-52</t>
  </si>
  <si>
    <t>CFG-53</t>
  </si>
  <si>
    <t>CFG-54</t>
  </si>
  <si>
    <t>CFG-55</t>
  </si>
  <si>
    <t>CFG-56</t>
  </si>
  <si>
    <t>CFG-57</t>
  </si>
  <si>
    <t>CFG-58</t>
  </si>
  <si>
    <t>CFG-59</t>
  </si>
  <si>
    <t>CFG-60</t>
  </si>
  <si>
    <t>CFG-61</t>
  </si>
  <si>
    <t>CFG-62</t>
  </si>
  <si>
    <t>CFG-63</t>
  </si>
  <si>
    <t>CFG-64</t>
  </si>
  <si>
    <t>CFG-65</t>
  </si>
  <si>
    <t>CFG-66</t>
  </si>
  <si>
    <t>CFG-67</t>
  </si>
  <si>
    <t>CFG-68</t>
  </si>
  <si>
    <t>CFG-69</t>
  </si>
  <si>
    <t>CFG-70</t>
  </si>
  <si>
    <t>CFG-71</t>
  </si>
  <si>
    <t>CFG-72</t>
  </si>
  <si>
    <t>CFG-73</t>
  </si>
  <si>
    <t>CFG-74</t>
  </si>
  <si>
    <t>CFG-75</t>
  </si>
  <si>
    <t>CFG-76</t>
  </si>
  <si>
    <t>CFG-77</t>
  </si>
  <si>
    <t>CFG-78</t>
  </si>
  <si>
    <t>CFG-79</t>
  </si>
  <si>
    <t>CFG-80</t>
  </si>
  <si>
    <t>CFG-81</t>
  </si>
  <si>
    <t>CFG-82</t>
  </si>
  <si>
    <t>CFG-83</t>
  </si>
  <si>
    <t>Sposób udostępnienia</t>
  </si>
  <si>
    <t>Zakres udostępnionej dokumentacji</t>
  </si>
  <si>
    <t>Data udostępnienia</t>
  </si>
  <si>
    <t>Imię i nazwisko pacjenta</t>
  </si>
  <si>
    <t>Osoba udostępniająca</t>
  </si>
  <si>
    <t>art. 27 ust. 4 pkt. 1 ustawy o prawach pacjenta</t>
  </si>
  <si>
    <t>art. 27 ust. 4 pkt. 2 ustawy o prawach pacjenta</t>
  </si>
  <si>
    <t>art. 27 ust. 4 pkt. 3 ustawy o prawach pacjenta</t>
  </si>
  <si>
    <t>art. 27 ust. 4 pkt. 4 ustawy o prawach pacjenta</t>
  </si>
  <si>
    <t>art. 27 ust. 4 pkt. 5 ustawy o prawach pacjenta</t>
  </si>
  <si>
    <t>art. 27 ust. 4 pkt. 6 ustawy o prawach pacjenta</t>
  </si>
  <si>
    <t>rng\Receiver.Type</t>
  </si>
  <si>
    <t>OBJ-24</t>
  </si>
  <si>
    <t>CFG-84</t>
  </si>
  <si>
    <t>CFG-85</t>
  </si>
  <si>
    <t>CFG-86</t>
  </si>
  <si>
    <t>CFG-87</t>
  </si>
  <si>
    <t>CFG-88</t>
  </si>
  <si>
    <t>Kopia</t>
  </si>
  <si>
    <t>Wydruk</t>
  </si>
  <si>
    <t>Odpis</t>
  </si>
  <si>
    <t>Wyciąg</t>
  </si>
  <si>
    <t>Wgląd</t>
  </si>
  <si>
    <t>Elektronicznie</t>
  </si>
  <si>
    <t>Nośnik</t>
  </si>
  <si>
    <t>Oryginał</t>
  </si>
  <si>
    <t>Inny</t>
  </si>
  <si>
    <t>rng\Receiver.Mode</t>
  </si>
  <si>
    <t>OBJ-25</t>
  </si>
  <si>
    <t>CFG-89</t>
  </si>
  <si>
    <t>CFG-90</t>
  </si>
  <si>
    <t>CFG-91</t>
  </si>
  <si>
    <t>CFG-92</t>
  </si>
  <si>
    <t>CFG-93</t>
  </si>
  <si>
    <t>CFG-94</t>
  </si>
  <si>
    <t>CFG-95</t>
  </si>
  <si>
    <t>CFG-96</t>
  </si>
  <si>
    <t>CFG-97</t>
  </si>
  <si>
    <t>Całość</t>
  </si>
  <si>
    <t>Część</t>
  </si>
  <si>
    <t>Pojedyńczy rekord</t>
  </si>
  <si>
    <t>rng\Receiver.Scope</t>
  </si>
  <si>
    <t>OBJ-26</t>
  </si>
  <si>
    <t>CFG-98</t>
  </si>
  <si>
    <t>CFG-99</t>
  </si>
  <si>
    <t>CFG-100</t>
  </si>
  <si>
    <t>Opis udostępnionego zakresu</t>
  </si>
  <si>
    <t>Kategoria odbiorcy</t>
  </si>
  <si>
    <t>Przedstawiciel ustawowy</t>
  </si>
  <si>
    <t>Organ uprawniony</t>
  </si>
  <si>
    <t>MED-01</t>
  </si>
  <si>
    <t>var\Symbol.Causes</t>
  </si>
  <si>
    <t>CFG-101</t>
  </si>
  <si>
    <t>OBJ-27</t>
  </si>
  <si>
    <t xml:space="preserve"> -&gt; </t>
  </si>
  <si>
    <t>ANR-01</t>
  </si>
  <si>
    <t>ANR-02</t>
  </si>
  <si>
    <t>ANR-03</t>
  </si>
  <si>
    <t>ANR-04</t>
  </si>
  <si>
    <t>ANR-05</t>
  </si>
  <si>
    <t>ANR-06</t>
  </si>
  <si>
    <t>ANR-07</t>
  </si>
  <si>
    <t>ANR-08</t>
  </si>
  <si>
    <t>ANR-09</t>
  </si>
  <si>
    <t>ANR-10</t>
  </si>
  <si>
    <t>ANR-11</t>
  </si>
  <si>
    <t>ANR-12</t>
  </si>
  <si>
    <t>ANR-13</t>
  </si>
  <si>
    <t>ANR-14</t>
  </si>
  <si>
    <t>ANR-15</t>
  </si>
  <si>
    <t>ANR-16</t>
  </si>
  <si>
    <t>ANR-17</t>
  </si>
  <si>
    <t>ANR-18</t>
  </si>
  <si>
    <t>ANR-19</t>
  </si>
  <si>
    <t>ANR-20</t>
  </si>
  <si>
    <t>ANR-21</t>
  </si>
  <si>
    <t>ANR-22</t>
  </si>
  <si>
    <t>ANR-23</t>
  </si>
  <si>
    <t>ANR-24</t>
  </si>
  <si>
    <t>ANR-25</t>
  </si>
  <si>
    <t>ANR-26</t>
  </si>
  <si>
    <t>ANR-27</t>
  </si>
  <si>
    <t>ANR-28</t>
  </si>
  <si>
    <t>ANR-29</t>
  </si>
  <si>
    <t>ANR-30</t>
  </si>
  <si>
    <t>ANR-31</t>
  </si>
  <si>
    <t>ANR-32</t>
  </si>
  <si>
    <t>ANR-33</t>
  </si>
  <si>
    <t>ANR-34</t>
  </si>
  <si>
    <t>ANR-35</t>
  </si>
  <si>
    <t>ANR-36</t>
  </si>
  <si>
    <t>ANR-37</t>
  </si>
  <si>
    <t>ANR-38</t>
  </si>
  <si>
    <t>ANR-39</t>
  </si>
  <si>
    <t>ANR-40</t>
  </si>
  <si>
    <t>ANR-41</t>
  </si>
  <si>
    <t>ANR-42</t>
  </si>
  <si>
    <t>ANR-43</t>
  </si>
  <si>
    <t>ANR-44</t>
  </si>
  <si>
    <t>ANR-45</t>
  </si>
  <si>
    <t>ANR-46</t>
  </si>
  <si>
    <t>ANR-47</t>
  </si>
  <si>
    <t>ANR-48</t>
  </si>
  <si>
    <t>ANR-49</t>
  </si>
  <si>
    <t>ANR-50</t>
  </si>
  <si>
    <t>ANR-51</t>
  </si>
  <si>
    <t>ANR-52</t>
  </si>
  <si>
    <t>ANR-53</t>
  </si>
  <si>
    <t>ANR-54</t>
  </si>
  <si>
    <t>ANR-55</t>
  </si>
  <si>
    <t>ANR-56</t>
  </si>
  <si>
    <t>ANR-57</t>
  </si>
  <si>
    <t>ANR-58</t>
  </si>
  <si>
    <t>ANR-59</t>
  </si>
  <si>
    <t>ANR-60</t>
  </si>
  <si>
    <t>ANR-61</t>
  </si>
  <si>
    <t>ANR-62</t>
  </si>
  <si>
    <t>ANR-63</t>
  </si>
  <si>
    <t>ANR-64</t>
  </si>
  <si>
    <t>ANR-65</t>
  </si>
  <si>
    <t>ANR-66</t>
  </si>
  <si>
    <t>ANR-67</t>
  </si>
  <si>
    <t>ANR-68</t>
  </si>
  <si>
    <t>ANR-69</t>
  </si>
  <si>
    <t>ANR-70</t>
  </si>
  <si>
    <t>ANR-71</t>
  </si>
  <si>
    <t>ANR-72</t>
  </si>
  <si>
    <t>ANR-73</t>
  </si>
  <si>
    <t>ANR-74</t>
  </si>
  <si>
    <t>ANR-75</t>
  </si>
  <si>
    <t>ANR-76</t>
  </si>
  <si>
    <t>ANR-77</t>
  </si>
  <si>
    <t>ANR-78</t>
  </si>
  <si>
    <t>ANR-79</t>
  </si>
  <si>
    <t>ANR-80</t>
  </si>
  <si>
    <t>ANR-81</t>
  </si>
  <si>
    <t>ANR-82</t>
  </si>
  <si>
    <t>ANR-83</t>
  </si>
  <si>
    <t>ANR-84</t>
  </si>
  <si>
    <t>ANR-85</t>
  </si>
  <si>
    <t>ANR-86</t>
  </si>
  <si>
    <t>ANR-87</t>
  </si>
  <si>
    <t>ANR-88</t>
  </si>
  <si>
    <t>ANR-89</t>
  </si>
  <si>
    <t>ANR-90</t>
  </si>
  <si>
    <t>ANR-91</t>
  </si>
  <si>
    <t>ANR-92</t>
  </si>
  <si>
    <t>ANR-93</t>
  </si>
  <si>
    <t>ANR-94</t>
  </si>
  <si>
    <t>ANR-95</t>
  </si>
  <si>
    <t>ANR-96</t>
  </si>
  <si>
    <t>rng\Risk.Probability</t>
  </si>
  <si>
    <t>OBJ-28</t>
  </si>
  <si>
    <t>CFG-102</t>
  </si>
  <si>
    <t>CFG-103</t>
  </si>
  <si>
    <t>OBJ-29</t>
  </si>
  <si>
    <t>CFG-104</t>
  </si>
  <si>
    <t>OBJ-30</t>
  </si>
  <si>
    <t>CFG-105</t>
  </si>
  <si>
    <t>OBJ-31</t>
  </si>
  <si>
    <t>CFG-106</t>
  </si>
  <si>
    <t>OBJ-32</t>
  </si>
  <si>
    <t>Formula 2007</t>
  </si>
  <si>
    <t>Formula 2021</t>
  </si>
  <si>
    <t>MFA</t>
  </si>
  <si>
    <t>rng\Risk.Acceptance</t>
  </si>
  <si>
    <t>CFG-114</t>
  </si>
  <si>
    <t>CFG-115</t>
  </si>
  <si>
    <t>CFG-116</t>
  </si>
  <si>
    <t>Ograniczenie</t>
  </si>
  <si>
    <t>Unikanie</t>
  </si>
  <si>
    <t>Transfer</t>
  </si>
  <si>
    <t>CFG-117</t>
  </si>
  <si>
    <t>CFG-118</t>
  </si>
  <si>
    <t>CFG-119</t>
  </si>
  <si>
    <t>CFG-120</t>
  </si>
  <si>
    <t>pozostawiam ryzyko</t>
  </si>
  <si>
    <t>wdrażam środki zmniejszające ryzyko</t>
  </si>
  <si>
    <t>eliminuję działalność generującą ryzyko</t>
  </si>
  <si>
    <t>przenoszę część konsekwencji/obsługi ryzyka na inny podmiot</t>
  </si>
  <si>
    <t>Opis ryzyka systemowego</t>
  </si>
  <si>
    <t>Pierwotne ryzyko systemowe</t>
  </si>
  <si>
    <t>Strategia</t>
  </si>
  <si>
    <t>Ocena pierwotnego ryzyka systemowego</t>
  </si>
  <si>
    <t>rng\Risk.AssessmentLevel</t>
  </si>
  <si>
    <t>Umiarkowane</t>
  </si>
  <si>
    <t>Bardzo wysokie</t>
  </si>
  <si>
    <t>CFG-121</t>
  </si>
  <si>
    <t>CFG-122</t>
  </si>
  <si>
    <t>CFG-123</t>
  </si>
  <si>
    <t>CFG-124</t>
  </si>
  <si>
    <t>rng\Risk.Strategy</t>
  </si>
  <si>
    <t>Prawdopodobienstwo po zabezpieczeniach</t>
  </si>
  <si>
    <t>Wpływ po zabezpieczeniach</t>
  </si>
  <si>
    <t>Ocena ryzyka rezydualnego</t>
  </si>
  <si>
    <t>RISK ID</t>
  </si>
  <si>
    <t>=IFERROR(tab\Dict.AREA[@Obszar]&amp; var\Symbol.Causes &amp;tab\Dict.AREA[@Przyczyna] &amp; var\Symbol.Causes &amp; tab\Dict.AREA[@Zdarzenie]&amp;" = [" &amp; TEXTJOIN("+"; TRUE; IF(tab\Dict.AREA[@Poufność]=INDEX(rng\Symbol.OkNo;2);"P";""); IF(tab\Dict.AREA[@Integralność]=INDEX(rng\Symbol.OkNo;2);"I";""); IF(tab\Dict.AREA[@Dostępność]=INDEX(rng\Symbol.OkNo;2);"D";"") ) &amp; "]";var\Symbol.NoData)</t>
  </si>
  <si>
    <t>VPN</t>
  </si>
  <si>
    <t>Słownik zabezpieczeń</t>
  </si>
  <si>
    <t>SEC-01</t>
  </si>
  <si>
    <t>SEC-02</t>
  </si>
  <si>
    <t>SEC-03</t>
  </si>
  <si>
    <t>SEC-04</t>
  </si>
  <si>
    <t>SEC-05</t>
  </si>
  <si>
    <t>SEC-06</t>
  </si>
  <si>
    <t>SEC-07</t>
  </si>
  <si>
    <t>SEC-08</t>
  </si>
  <si>
    <t>SEC-09</t>
  </si>
  <si>
    <t>SEC-10</t>
  </si>
  <si>
    <t>SEC-11</t>
  </si>
  <si>
    <t>SEC-12</t>
  </si>
  <si>
    <t>SEC-13</t>
  </si>
  <si>
    <t>SEC-14</t>
  </si>
  <si>
    <t>SEC-15</t>
  </si>
  <si>
    <t>Zabezpieczenie</t>
  </si>
  <si>
    <t>Warunkowo</t>
  </si>
  <si>
    <t>Uwierzytelnianie</t>
  </si>
  <si>
    <t>Silne i unikalne hasła</t>
  </si>
  <si>
    <t>Wymaganie stosowania haseł o odpowiedniej sile i nieużywania tego samego hasła w różnych systemach</t>
  </si>
  <si>
    <t>Wieloskładnikowe uwierzytelnianie dostępu do systemu</t>
  </si>
  <si>
    <t>MFA odporne na phishing</t>
  </si>
  <si>
    <t>Uwierzytelnianie wykorzystujące mechanizm odporny na przejęcie poświadczeń, np. FIDO2/passkey</t>
  </si>
  <si>
    <t>Menedżer haseł</t>
  </si>
  <si>
    <t>Stosowanie menedżera umożliwiającego generowanie i przechowywanie unikalnych haseł</t>
  </si>
  <si>
    <t>Ograniczenie prób logowania</t>
  </si>
  <si>
    <t>Blokowanie lub ograniczanie kolejnych prób po nieudanych logowaniach</t>
  </si>
  <si>
    <t>Sesje</t>
  </si>
  <si>
    <t>Automatyczna blokada stanowiska</t>
  </si>
  <si>
    <t>Automatyczne blokowanie dostępu po okresie bezczynności</t>
  </si>
  <si>
    <t>Blokowanie stanowiska przez użytkownika</t>
  </si>
  <si>
    <t>Obowiązek blokowania stanowiska przy jego opuszczaniu</t>
  </si>
  <si>
    <t>Ograniczenie czasu sesji</t>
  </si>
  <si>
    <t>Automatyczne zakończenie lub ponowne uwierzytelnienie po określonym czasie</t>
  </si>
  <si>
    <t>Ochrona endpointu</t>
  </si>
  <si>
    <t>Ochrona antymalware/EDR</t>
  </si>
  <si>
    <t>Ochrona urządzenia przed złośliwym oprogramowaniem i wykrywanie podejrzanych działań</t>
  </si>
  <si>
    <t>Aktualizacje systemu i aplikacji</t>
  </si>
  <si>
    <t>Bieżące instalowanie aktualizacji bezpieczeństwa systemu i oprogramowania</t>
  </si>
  <si>
    <t>Ograniczenie uprawnień administratora</t>
  </si>
  <si>
    <t>Codzienna praca bez lokalnych uprawnień administracyjnych, jeśli nie są potrzebne</t>
  </si>
  <si>
    <t>Szyfrowanie dysku</t>
  </si>
  <si>
    <t>Pełne szyfrowanie danych zapisanych na komputerze</t>
  </si>
  <si>
    <t>Monitoring</t>
  </si>
  <si>
    <t>Rejestrowanie operacji</t>
  </si>
  <si>
    <t>Zapisywanie istotnych operacji i zdarzeń wykonywanych w systemach</t>
  </si>
  <si>
    <t>Monitoring logowań</t>
  </si>
  <si>
    <t>Monitorowanie nietypowych lub nieautoryzowanych prób i sesji logowania</t>
  </si>
  <si>
    <t>Uprawnienia</t>
  </si>
  <si>
    <t>Minimalizacja uprawnień</t>
  </si>
  <si>
    <t>Nadawanie wyłącznie uprawnień niezbędnych do wykonywania obowiązków</t>
  </si>
  <si>
    <t>SEC-16</t>
  </si>
  <si>
    <t>Okresowy przegląd uprawnień</t>
  </si>
  <si>
    <t>Cykliczna weryfikacja aktualności i zasadności przyznanych dostępów</t>
  </si>
  <si>
    <t>SEC-17</t>
  </si>
  <si>
    <t>Indywidualne konta użytkowników</t>
  </si>
  <si>
    <t>Zakaz współdzielenia kont i zapewnienie rozliczalności użytkowników</t>
  </si>
  <si>
    <t>SEC-18</t>
  </si>
  <si>
    <t>Transmisja</t>
  </si>
  <si>
    <t>Szyfrowanie transmisji</t>
  </si>
  <si>
    <t>Stosowanie bezpiecznych protokołów transmisji, w szczególności TLS</t>
  </si>
  <si>
    <t>SEC-19</t>
  </si>
  <si>
    <t>Szyfrowany tunel przy korzystaniu z sieci wymagających dodatkowej ochrony</t>
  </si>
  <si>
    <t>SEC-20</t>
  </si>
  <si>
    <t>Unikanie niezaufanych sieci</t>
  </si>
  <si>
    <t>Niekorzystanie z niezaufanych sieci do przetwarzania danych bez odpowiednich zabezpieczeń</t>
  </si>
  <si>
    <t>SEC-21</t>
  </si>
  <si>
    <t>Zabezpieczenie przed fałszywymi serwisami</t>
  </si>
  <si>
    <t>Weryfikacja adresów, certyfikatów oraz wykorzystanie zabezpieczeń przeglądarki/DNS</t>
  </si>
  <si>
    <t>SEC-22</t>
  </si>
  <si>
    <t>E-mail</t>
  </si>
  <si>
    <t>Weryfikacja odbiorcy</t>
  </si>
  <si>
    <t>Sprawdzenie adresata przed przekazaniem danych</t>
  </si>
  <si>
    <t>SEC-23</t>
  </si>
  <si>
    <t>Bezpieczne przekazywanie załączników</t>
  </si>
  <si>
    <t>Szyfrowanie dokumentu lub zastosowanie bezpiecznego kanału zamiast otwartego załącznika</t>
  </si>
  <si>
    <t>SEC-24</t>
  </si>
  <si>
    <t>Rozdzielenie kanałów przekazania hasła</t>
  </si>
  <si>
    <t>Przekazanie hasła do zaszyfrowanego dokumentu innym kanałem niż sam dokument</t>
  </si>
  <si>
    <t>SEC-25</t>
  </si>
  <si>
    <t>Ochrona antyphishingowa</t>
  </si>
  <si>
    <t>Techniczne filtrowanie wiadomości podejrzanych i phishingowych</t>
  </si>
  <si>
    <t>SEC-26</t>
  </si>
  <si>
    <t>Szkolenie z ochrony danych i bezpieczeństwa</t>
  </si>
  <si>
    <t>Szkolenie dotyczące bezpiecznego przetwarzania danych i rozpoznawania zagrożeń</t>
  </si>
  <si>
    <t>SEC-27</t>
  </si>
  <si>
    <t>Procedury przetwarzania danych</t>
  </si>
  <si>
    <t>Udokumentowane zasady wykonywania czynności mogących wpływać na bezpieczeństwo danych</t>
  </si>
  <si>
    <t>SEC-28</t>
  </si>
  <si>
    <t>Weryfikacja operacji krytycznych</t>
  </si>
  <si>
    <t>Dodatkowa kontrola przed wykonaniem czynności o podwyższonym ryzyku</t>
  </si>
  <si>
    <t>SEC-29</t>
  </si>
  <si>
    <t>Pomieszczenia</t>
  </si>
  <si>
    <t>Kontrola dostępu do pomieszczeń</t>
  </si>
  <si>
    <t>Ograniczenie dostępu do miejsc przetwarzania danych do osób uprawnionych</t>
  </si>
  <si>
    <t>SEC-30</t>
  </si>
  <si>
    <t>Zamykane przechowywanie dokumentacji</t>
  </si>
  <si>
    <t>Przechowywanie dokumentacji i nośników w zabezpieczonych szafach lub pomieszczeniach</t>
  </si>
  <si>
    <t>SEC-31</t>
  </si>
  <si>
    <t>Zasada czystego biurka</t>
  </si>
  <si>
    <t>Niepozostawianie dokumentacji dostępnej dla osób nieuprawnionych</t>
  </si>
  <si>
    <t>SEC-32</t>
  </si>
  <si>
    <t>Zabezpieczenie przeciwpożarowe</t>
  </si>
  <si>
    <t>Środki ograniczające ryzyko zniszczenia sprzętu i dokumentacji wskutek pożaru</t>
  </si>
  <si>
    <t>SEC-33</t>
  </si>
  <si>
    <t>Dokumentacja papierowa</t>
  </si>
  <si>
    <t>Bezpieczne niszczenie dokumentacji</t>
  </si>
  <si>
    <t>Niszczenie dokumentów w sposób uniemożliwiający odtworzenie zawartych danych</t>
  </si>
  <si>
    <t>SEC-34</t>
  </si>
  <si>
    <t>Szyfrowanie nośników</t>
  </si>
  <si>
    <t>Szyfrowanie przenośnych nośników zawierających dane</t>
  </si>
  <si>
    <t>SEC-35</t>
  </si>
  <si>
    <t>Ograniczenie używania nośników</t>
  </si>
  <si>
    <t>Używanie przenośnych nośników tylko w uzasadnionych przypadkach</t>
  </si>
  <si>
    <t>SEC-36</t>
  </si>
  <si>
    <t>Ewidencja nośników</t>
  </si>
  <si>
    <t>Kontrola wydawania, używania, przechowywania i wycofywania nośników</t>
  </si>
  <si>
    <t>SEC-37</t>
  </si>
  <si>
    <t>Regularny backup</t>
  </si>
  <si>
    <t>Wykonywanie kopii danych według określonego harmonogramu</t>
  </si>
  <si>
    <t>SEC-38</t>
  </si>
  <si>
    <t>Automatyzacja backupu</t>
  </si>
  <si>
    <t>Automatyczne wykonywanie kopii ograniczające zależność od działania użytkownika</t>
  </si>
  <si>
    <t>SEC-39</t>
  </si>
  <si>
    <t>Odseparowanie kopii</t>
  </si>
  <si>
    <t>Utrzymywanie kopii poza bezpośrednim dostępem systemu źródłowego</t>
  </si>
  <si>
    <t>SEC-40</t>
  </si>
  <si>
    <t>Niezmienna/offline kopia</t>
  </si>
  <si>
    <t>Utrzymywanie co najmniej jednej kopii odpornej na modyfikację lub usunięcie z systemu produkcyjnego</t>
  </si>
  <si>
    <t>SEC-41</t>
  </si>
  <si>
    <t>Wielokrotne kopie</t>
  </si>
  <si>
    <t>Utrzymywanie więcej niż jednej niezależnej kopii danych</t>
  </si>
  <si>
    <t>SEC-42</t>
  </si>
  <si>
    <t>Kontrola integralności kopii</t>
  </si>
  <si>
    <t>Sprawdzanie poprawności i kompletności wykonanych kopii</t>
  </si>
  <si>
    <t>SEC-43</t>
  </si>
  <si>
    <t>Test odtwarzania</t>
  </si>
  <si>
    <t>Okresowa praktyczna weryfikacja możliwości odtworzenia danych</t>
  </si>
  <si>
    <t>SEC-44</t>
  </si>
  <si>
    <t>Kopia poza lokalizacją</t>
  </si>
  <si>
    <t>Przechowywanie kopii niezależnie od fizycznego miejsca przechowywania danych źródłowych</t>
  </si>
  <si>
    <t>SEC-45</t>
  </si>
  <si>
    <t>Procedura pracy awaryjnej</t>
  </si>
  <si>
    <t>Określenie sposobu działania podczas niedostępności podstawowego systemu</t>
  </si>
  <si>
    <t>SEC-46</t>
  </si>
  <si>
    <t>Zapasowe połączenie internetowe</t>
  </si>
  <si>
    <t>Alternatywna możliwość dostępu do Internetu, np. przez sieć komórkową</t>
  </si>
  <si>
    <t>SEC-47</t>
  </si>
  <si>
    <t>UPS</t>
  </si>
  <si>
    <t>Podtrzymanie zasilania krytycznych urządzeń</t>
  </si>
  <si>
    <t>SEC-48</t>
  </si>
  <si>
    <t>Dostawcy</t>
  </si>
  <si>
    <t>Weryfikacja dostawcy</t>
  </si>
  <si>
    <t>Ocena dostawcy pod kątem zdolności do zapewnienia odpowiedniego poziomu ochrony danych</t>
  </si>
  <si>
    <t>SEC-49</t>
  </si>
  <si>
    <t>Umowa powierzenia</t>
  </si>
  <si>
    <t>Uregulowanie przetwarzania przez procesora zgodnie z art. 28 RODO</t>
  </si>
  <si>
    <t>SEC-50</t>
  </si>
  <si>
    <t>Weryfikacja zabezpieczeń dostawcy</t>
  </si>
  <si>
    <t>Ocena deklarowanych lub udokumentowanych środków bezpieczeństwa procesora</t>
  </si>
  <si>
    <t>SEC-51</t>
  </si>
  <si>
    <t>Obsługa incydentów przez dostawcę</t>
  </si>
  <si>
    <t>Ustalenie zasad informowania i współpracy w przypadku naruszeń lub incydentów</t>
  </si>
  <si>
    <t>SEC-52</t>
  </si>
  <si>
    <t>Wymagania dostępności usługi</t>
  </si>
  <si>
    <t>Określenie lub ocena parametrów dostępności/SLA odpowiednich dla potrzeb administratora</t>
  </si>
  <si>
    <t>SEC-53</t>
  </si>
  <si>
    <t>Udostępnianie</t>
  </si>
  <si>
    <t>Weryfikacja tożsamości odbiorcy</t>
  </si>
  <si>
    <t>Potwierdzenie tożsamości osoby, której dokumentacja ma zostać udostępniona</t>
  </si>
  <si>
    <t>SEC-54</t>
  </si>
  <si>
    <t>Weryfikacja uprawnienia odbiorcy</t>
  </si>
  <si>
    <t>Sprawdzenie podstawy uprawniającej daną osobę lub podmiot do otrzymania dokumentacji</t>
  </si>
  <si>
    <t>SEC-55</t>
  </si>
  <si>
    <t>Weryfikacja zakresu udostępnienia</t>
  </si>
  <si>
    <t>Sprawdzenie, czy zakres przekazywanych danych odpowiada zakresowi uprawnienia</t>
  </si>
  <si>
    <t>SEC-56</t>
  </si>
  <si>
    <t>Weryfikacja danych adresowych</t>
  </si>
  <si>
    <t>Potwierdzenie adresu pocztowego lub elektronicznego przed wysłaniem dokumentacji</t>
  </si>
  <si>
    <t>SEC-57</t>
  </si>
  <si>
    <t>Integralność dokumentacji</t>
  </si>
  <si>
    <t>Weryfikacja wpisu</t>
  </si>
  <si>
    <t>Kontrola poprawności danych przed lub bezpośrednio po ich zapisaniu</t>
  </si>
  <si>
    <t>SEC-58</t>
  </si>
  <si>
    <t>Identyfikacja pacjenta przed wpisem</t>
  </si>
  <si>
    <t>Potwierdzenie właściwego rekordu pacjenta przed wprowadzeniem dokumentacji</t>
  </si>
  <si>
    <t>SEC-59</t>
  </si>
  <si>
    <t>Historia zmian</t>
  </si>
  <si>
    <t>Zachowanie informacji o zmianach w dokumentacji i ich autorach</t>
  </si>
  <si>
    <t>SEC-60</t>
  </si>
  <si>
    <t>Kontrolowana korekta danych</t>
  </si>
  <si>
    <t>Mechanizm poprawiania błędów bez niekontrolowanego nadpisywania historii</t>
  </si>
  <si>
    <t>SEC-61</t>
  </si>
  <si>
    <t>Retencja</t>
  </si>
  <si>
    <t>Ograniczenie wynoszenia dokumentacji</t>
  </si>
  <si>
    <t>Ograniczenie przemieszczania dokumentacji poza miejsce jej standardowego przechowywania</t>
  </si>
  <si>
    <t>SEC-62</t>
  </si>
  <si>
    <t>Ewidencja przemieszczania dokumentacji</t>
  </si>
  <si>
    <t>Rejestrowanie wydania/przeniesienia dokumentacji, gdy jest to uzasadnione sposobem jej przetwarzania</t>
  </si>
  <si>
    <t>Silne i unikalne hasła; MFA; Menedżer haseł</t>
  </si>
  <si>
    <t>MFA odporne na phishing; Szkolenie z ochrony danych i bezpieczeństwa; Ochrona antyphishingowa</t>
  </si>
  <si>
    <t>Automatyczna blokada stanowiska; Blokowanie stanowiska przez użytkownika; Ograniczenie czasu sesji</t>
  </si>
  <si>
    <t>Ochrona antymalware/EDR; Aktualizacje systemu i aplikacji; Ograniczenie uprawnień administratora</t>
  </si>
  <si>
    <t>Ochrona antymalware/EDR; Aktualizacje systemu i aplikacji; Odseparowanie kopii; Niezmienna/offline kopia; Test odtwarzania</t>
  </si>
  <si>
    <t>Szyfrowanie dysku; Automatyczna blokada stanowiska; Kontrola dostępu do pomieszczeń</t>
  </si>
  <si>
    <t>MFA; Silne i unikalne hasła; Indywidualne konta użytkowników; Monitoring logowań</t>
  </si>
  <si>
    <t>Regularny backup; Kontrola integralności kopii; Test odtwarzania; Historia zmian</t>
  </si>
  <si>
    <t>Procedura pracy awaryjnej; Wymagania dostępności usługi</t>
  </si>
  <si>
    <t>Minimalizacja uprawnień; Okresowy przegląd uprawnień; Indywidualne konta użytkowników</t>
  </si>
  <si>
    <t>Weryfikacja dostawcy; Umowa powierzenia; Weryfikacja zabezpieczeń dostawcy; Obsługa incydentów przez dostawcę</t>
  </si>
  <si>
    <t>Szyfrowanie transmisji; VPN; Unikanie niezaufanych sieci</t>
  </si>
  <si>
    <t>MFA odporne na phishing; Zabezpieczenie przed fałszywymi serwisami; Szkolenie z ochrony danych i bezpieczeństwa</t>
  </si>
  <si>
    <t>Zapasowe połączenie internetowe; Procedura pracy awaryjnej</t>
  </si>
  <si>
    <t>Weryfikacja odbiorcy; Weryfikacja danych adresowych; Procedury przetwarzania danych</t>
  </si>
  <si>
    <t>Bezpieczne przekazywanie załączników; Rozdzielenie kanałów przekazania hasła</t>
  </si>
  <si>
    <t>MFA; Silne i unikalne hasła; Monitoring logowań; Ograniczenie czasu sesji</t>
  </si>
  <si>
    <t>Zasada czystego biurka; Zamykane przechowywanie dokumentacji; Kontrola dostępu do pomieszczeń</t>
  </si>
  <si>
    <t>Zamykane przechowywanie dokumentacji; Ograniczenie wynoszenia dokumentacji; Ewidencja przemieszczania dokumentacji</t>
  </si>
  <si>
    <t>Szyfrowanie nośników; Ograniczenie używania nośników; Ewidencja nośników</t>
  </si>
  <si>
    <t>Regularny backup; Wielokrotne kopie</t>
  </si>
  <si>
    <t>Szkolenie z ochrony danych i bezpieczeństwa; Procedury przetwarzania danych; Weryfikacja operacji krytycznych</t>
  </si>
  <si>
    <t>Minimalizacja uprawnień; Okresowy przegląd uprawnień</t>
  </si>
  <si>
    <t>Minimalizacja uprawnień; Rejestrowanie operacji; Indywidualne konta użytkowników</t>
  </si>
  <si>
    <t>Kontrola dostępu do pomieszczeń; Zamykane przechowywanie dokumentacji; Automatyczna blokada stanowiska</t>
  </si>
  <si>
    <t>Kontrola dostępu do pomieszczeń; Szyfrowanie dysku; Zamykane przechowywanie dokumentacji</t>
  </si>
  <si>
    <t>Kopia poza lokalizacją; Zabezpieczenie przeciwpożarowe; Zamykane przechowywanie dokumentacji</t>
  </si>
  <si>
    <t>Wielokrotne kopie; Kontrola integralności kopii; Test odtwarzania</t>
  </si>
  <si>
    <t>Odseparowanie kopii; Niezmienna/offline kopia; Kopia poza lokalizacją</t>
  </si>
  <si>
    <t>Kontrola integralności kopii; Test odtwarzania</t>
  </si>
  <si>
    <t>Weryfikacja tożsamości odbiorcy; Weryfikacja uprawnienia odbiorcy</t>
  </si>
  <si>
    <t>Weryfikacja danych adresowych; Weryfikacja odbiorcy</t>
  </si>
  <si>
    <t>Weryfikacja uprawnienia odbiorcy; Weryfikacja zakresu udostępnienia</t>
  </si>
  <si>
    <t>Weryfikacja wpisu; Kontrolowana korekta danych; Historia zmian</t>
  </si>
  <si>
    <t>Identyfikacja pacjenta przed wpisem; Weryfikacja wpisu</t>
  </si>
  <si>
    <t>Minimalizacja uprawnień; Indywidualne konta użytkowników; Rejestrowanie operacji; Historia zmian</t>
  </si>
  <si>
    <t>Procedura pracy awaryjnej; Regularny backup; Test odtwarzania</t>
  </si>
  <si>
    <t>UPS; Procedura pracy awaryjnej</t>
  </si>
  <si>
    <t>Procedura pracy awaryjnej; Wymagania dostępności usługi; Weryfikacja dostawcy</t>
  </si>
  <si>
    <t>Ochrona antymalware/EDR; Aktualizacje systemu i aplikacji; Odseparowanie kopii; Test odtwarzania; Procedura pracy awaryjnej</t>
  </si>
  <si>
    <t>var\Application.Compatibility</t>
  </si>
  <si>
    <t>OBJ-33</t>
  </si>
  <si>
    <t>Kryterium kwalifikacyjne</t>
  </si>
  <si>
    <t>Automatyczne decyzje o istotnych skutkach</t>
  </si>
  <si>
    <t>Systematyczne monitorowanie</t>
  </si>
  <si>
    <t>Przetwarzanie na dużą skalę</t>
  </si>
  <si>
    <t>Przetwarzanie ograniczające możliwość skorzystania z prawa/usługi</t>
  </si>
  <si>
    <t>Wynik kwalifikacji</t>
  </si>
  <si>
    <t>Uzasadnienie</t>
  </si>
  <si>
    <t>Przetwarzanie danych biometrycznych</t>
  </si>
  <si>
    <t>Przetwarzanie danych lokalizacyjnych.</t>
  </si>
  <si>
    <t>QDP-01</t>
  </si>
  <si>
    <t>QDP-02</t>
  </si>
  <si>
    <t>QDP-03</t>
  </si>
  <si>
    <t>QDP-04</t>
  </si>
  <si>
    <t>QDP-05</t>
  </si>
  <si>
    <t>QDP-06</t>
  </si>
  <si>
    <t>QDP-07</t>
  </si>
  <si>
    <t>QDP-08</t>
  </si>
  <si>
    <t>QDP-09</t>
  </si>
  <si>
    <t>QDP-10</t>
  </si>
  <si>
    <t>QDP-11</t>
  </si>
  <si>
    <t>QDP-12</t>
  </si>
  <si>
    <t>Kwalifikacja konieczności oceny skutków dla ochrony danych</t>
  </si>
  <si>
    <t>Potrzebna ocena</t>
  </si>
  <si>
    <t xml:space="preserve">Art.. 35 RODO </t>
  </si>
  <si>
    <t>Operacje przetwarzania</t>
  </si>
  <si>
    <t>Ocena ryzyka naruszenia praw i wolności osób</t>
  </si>
  <si>
    <t>Środki planowane w celu zaradzenia ryzyku</t>
  </si>
  <si>
    <t>Art. 35 ust. 7 lit. A</t>
  </si>
  <si>
    <t>Art. 35 ust. 7 lit. B</t>
  </si>
  <si>
    <t>Art. 35 ust. 7 lit. C</t>
  </si>
  <si>
    <t>Art. 35 ust. 7 lit. D</t>
  </si>
  <si>
    <t>DPIA-01</t>
  </si>
  <si>
    <t>Przetwarzanie danych genetycznych</t>
  </si>
  <si>
    <t>Ocena / scoring osób</t>
  </si>
  <si>
    <t>Przetwarzanie danych zdrowotnych w ramach indywidualnej praktyki lekarskiej; brak dużej skali, profilowania, zautomatyzowanych decyzji i systematycznego monitorowania</t>
  </si>
  <si>
    <t>Do rozważenia</t>
  </si>
  <si>
    <t>Potrzeba stworzenia DPIA</t>
  </si>
  <si>
    <t>Ocena proporcjonalności</t>
  </si>
  <si>
    <t>Ocena niezbędności</t>
  </si>
  <si>
    <t>Przetwarzanie danych szczególnych kategorii lub wysoce osobistych</t>
  </si>
  <si>
    <t>Przetwarzanie danych osób wymagających szczególnej ochrony</t>
  </si>
  <si>
    <t>Przetwarzanie danych lokalizacyjnych</t>
  </si>
  <si>
    <t>Analiza danych pozyskiwanych z różnych źródeł</t>
  </si>
  <si>
    <t>Innowacyjne wykorzystanie lub zastosowanie rozwiązań technologicznych lub organizacyjnych.</t>
  </si>
  <si>
    <t>Zautomatyzowane podejmowanie decyzji wywołujących skutki prawne, finansowe lub podobne istotne skutki.</t>
  </si>
  <si>
    <t>Przeprowadzanie porównań, ocena lub wnioskowanie na podstawie analizy danych pozyskanych z różnych źródeł.</t>
  </si>
  <si>
    <t>Ewaluacja lub ocena, w tym profilowanie i przewidywanie (analiza behawioralna) w celach wywołujących negatywne skutki prawne, fizyczne, finansowe lub inne niedogodności dla osób fizycznych.</t>
  </si>
  <si>
    <t>Gdy przetwarzanie samo w sobie uniemożliwia osobom, których dane dotyczą, wykonywanie prawa lub korzystanie z usługi lub umowy.</t>
  </si>
  <si>
    <t>Systematyczne monitorowanie na dużą skalę miejsc dostępnych publicznie wykorzystujące elementy rozpoznawania cech lub właściwości obiektów, które znajdą się w monitorowanej przestrzeni. Do tej grupy systemów nie są zaliczane systemy monitoringu wizyjnego, w których obraz jest nagrywany i wykorzystywany tylko w przypadku potrzeby analizy incydentów naruszenia prawa.</t>
  </si>
  <si>
    <t>Dane przetwarzane na dużą skalę, gdzie pojęcie dużej skali dotyczy liczby osób, zakresu przetwarzania, okresu przechowywania oraz geograficznego zakresu przetwarzania.</t>
  </si>
  <si>
    <t>Przetwarzanie szczególnych kategorii danych osobowych lub dotyczących wyroków skazujących i czynów zabronionych (danych wrażliwych według opinii WP 29).</t>
  </si>
  <si>
    <t>Przetwarzanie danych dotyczących osób, których ocena i świadczone im usługi są uzależnione od podmiotów lub osób, które dysponują uprawnieniami nadzorczymi lub ocennymi.</t>
  </si>
  <si>
    <t>Przetwarzanie danych genetycznych.</t>
  </si>
  <si>
    <t>Przetwarzanie danych biometrycznych wyłącznie w celu identyfikacji osoby fizycznej bądź w celu kontroli dostępu.</t>
  </si>
  <si>
    <t>Wykoszystywanie nowych lub innowacyjnych technologii</t>
  </si>
  <si>
    <t>Kwalifikacja do DPIA</t>
  </si>
  <si>
    <t>Identyfikuje zagrożenia dla praw i wolności osób oraz ocenia ich prawdopodobieństwo i potencjalne skutki. Służy do określenia poziomu ryzyka i doboru adekwatnych środków zabezpieczających.</t>
  </si>
  <si>
    <t>Dokumentuje ocenę, czy dany rodzaj przetwarzania może powodować wysokie ryzyko i wymaga przeprowadzenia DPIA. Uzasadnia decyzję o wykonaniu albo odstąpieniu od DPIA.</t>
  </si>
  <si>
    <t>Szczegółowo analizuje operacje przetwarzania mogące powodować wysokie ryzyko dla praw i wolności osób. Ocenia konieczność, proporcjonalność, ryzyka oraz środki służące ich ograniczeniu.</t>
  </si>
  <si>
    <t>Realizuje obowiązek informacyjny wobec pacjentów, wskazując m.in. administratora, cele i podstawy przetwarzania, odbiorców, okres przechowywania oraz prawa osoby.</t>
  </si>
  <si>
    <t>Dokumentuje stwierdzone naruszenia ochrony danych, ich okoliczności, skutki oraz podjęte działania zaradcze. Umożliwia również wykazanie sposobu oceny i obsługi naruszenia.</t>
  </si>
  <si>
    <t>Określa sposób identyfikacji, zgłaszania, oceny, dokumentowania i obsługi naruszeń ochrony danych. Reguluje również podejmowanie decyzji o zawiadomieniu UODO i osób, których dane dotyczą.</t>
  </si>
  <si>
    <t>Określa sposób przyjmowania, weryfikowania i realizowania żądań wynikających z praw osób, których dane dotyczą. Ustala odpowiedzialność, terminy i sposób dokumentowania realizacji żądań.</t>
  </si>
  <si>
    <t>Ewidencjonuje podmioty przetwarzające dane w imieniu administratora oraz podstawowe informacje o zakresie powierzenia. Ułatwia nadzór nad procesorami i zawartymi umowami powierzenia.</t>
  </si>
  <si>
    <t>Ewidencjonuje podmioty, z którymi wspólnie ustalane są cele i sposoby przetwarzania danych. Dokumentuje zakres współadministrowania i podział odpowiedzialności.</t>
  </si>
  <si>
    <t>Ewidencjonuje systemy, aplikacje i inne środowiska wykorzystywane do przetwarzania danych osobowych. Pozwala powiązać procesy i dane z konkretnymi zasobami technicznymi oraz ich zabezpieczeniami.</t>
  </si>
  <si>
    <t>Dokumentuje przypadki udostępnienia dokumentacji medycznej pacjentowi lub innym uprawnionym osobom i podmiotom. Pozwala ustalić komu, kiedy, w jakim zakresie i w jaki sposób dokumentacja została udostępniona.</t>
  </si>
  <si>
    <t>Określa zasady wykonywania, przechowywania, zabezpieczania i testowania kopii zapasowych oraz odtwarzania danych. Ma zapewnić dostępność i możliwość odzyskania danych po awarii lub innym zdarzeniu.</t>
  </si>
  <si>
    <t>Określa okresy przechowywania poszczególnych kategorii danych oraz zasady ich usuwania, anonimizacji lub dalszej archiwizacji. Zapewnia, że dane nie są przechowywane dłużej niż jest to wymagane lub uzasadnione.</t>
  </si>
  <si>
    <t>Określa nadrzędne zasady organizacyjne i techniczne dotyczące ochrony danych osobowych i bezpieczeństwa informacji. Porządkuje role, odpowiedzialności, zabezpieczenia oraz powiązane procedury.</t>
  </si>
  <si>
    <t>Przyporządkowuje poszczególnym celom lub czynnościom przetwarzania właściwe podstawy prawne. Ułatwia wykazanie legalności przetwarzania danych, w tym danych szczególnych kategorii.</t>
  </si>
  <si>
    <t>Określa, które obowiązki i czynności związane z ochroną danych wykonuje administrator, a które procesor. Ułatwia jednoznaczne przypisanie odpowiedzialności i identyfikację obszarów wymagających współpracy.</t>
  </si>
  <si>
    <t>Zawierają aktualne dane kontaktowe administratora oraz innych właściwych osób lub podmiotów związanych z ochroną danych. Stanowią wspólne źródło danych wykorzystywanych w dokumentacji i komunikacji.</t>
  </si>
  <si>
    <t>Określa zasady przyjmowania i weryfikacji wniosków oraz udostępniania dokumentacji medycznej osobom i podmiotom uprawnionym. Reguluje zakres, formę, sposób oraz dokumentowanie udostępnienia.</t>
  </si>
  <si>
    <t>Standaryzuje oświadczenie pacjenta wskazujące osoby uprawnione do dostępu do jego dokumentacji medycznej lub informacji o stanie zdrowia. Zapewnia zebranie danych niezbędnych do jednoznacznego określenia zakresu upoważnienia.</t>
  </si>
  <si>
    <t>Standaryzuje dokument służący do nadawania osobom upoważnień do przetwarzania danych osobowych. Określa minimalny zakres informacji dotyczących osoby, zakresu upoważnienia i okresu jego obowiązywania.</t>
  </si>
  <si>
    <t>Dokumentuje czynności przetwarzania danych osobowych prowadzone przez administratora, w tym ich cele, kategorie danych i osób, odbiorców, okresy retencji oraz stosowane zabezpieczenia. Stanowi podstawową mapę procesów przetwarzania danych w organizacji. Definiuje co robione jest z danymi.</t>
  </si>
  <si>
    <t>Reguluje przetwarzanie danych przez procesora w imieniu administratora. Określa m.in. przedmiot, zakres, czas i cel przetwarzania oraz obowiązki i zabezpieczenia wymagane od procesora (dla każdego procesora osobno)</t>
  </si>
  <si>
    <t>Ewidencjonuje osoby posiadające upoważnienie do przetwarzania danych z ramienia Administratora oraz zakres i okres ich uprawnień. Umożliwia kontrolę dostępu do danych osobowych.</t>
  </si>
  <si>
    <t>Ocena skutków dla ochrony danych (DPIA)</t>
  </si>
  <si>
    <t>Wzór umowy powierzenia przetwarzania danych</t>
  </si>
  <si>
    <t>Polityka backupu i odtwarzania</t>
  </si>
  <si>
    <t>Polityka retencji i usuwania danych</t>
  </si>
  <si>
    <t>Polityka bezpieczeństwa informacji i ochrony danych osobowych</t>
  </si>
  <si>
    <t>Wzór upoważnienia do dostępu do dokumentacji medycznej</t>
  </si>
  <si>
    <t>Upoważnienie</t>
  </si>
  <si>
    <t xml:space="preserve">Umowa </t>
  </si>
  <si>
    <t xml:space="preserve"> Ocena skutków dla ochrony danych (DPIA)</t>
  </si>
  <si>
    <t>Opis działania</t>
  </si>
  <si>
    <t>Opis logiki aplikacji znajduje się w osobnym pliku</t>
  </si>
  <si>
    <t>Logika i założenia projektu</t>
  </si>
  <si>
    <t>Wniosek o udostępnienie dokumentacji medycznej</t>
  </si>
  <si>
    <t>DOC-24</t>
  </si>
  <si>
    <t>Szablon wniosku o udostepnienie dokumentacji medycznej.</t>
  </si>
  <si>
    <t>Standard zabezpieczeń technicznych i organizacyjnych</t>
  </si>
  <si>
    <t>DOC-25</t>
  </si>
  <si>
    <t>Dokument regulujący zabezpieczenia techniczne i ogranizacyjne stosowane przez administratora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</si>
</sst>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1"/>
      <color theme="5" tint="-0.249977111117893"/>
      <name val="Calibri"/>
      <family val="2"/>
      <charset val="238"/>
      <scheme val="minor"/>
    </font>
    <font>
      <i/>
      <sz val="11"/>
      <color theme="0"/>
      <name val="Calibri"/>
      <family val="2"/>
      <charset val="238"/>
      <scheme val="minor"/>
    </font>
    <font>
      <b/>
      <i/>
      <sz val="24"/>
      <color theme="0"/>
      <name val="Calibri"/>
      <family val="2"/>
      <charset val="238"/>
      <scheme val="minor"/>
    </font>
    <font>
      <i/>
      <sz val="11"/>
      <color theme="0"/>
      <name val="Calibri"/>
      <family val="2"/>
      <charset val="238"/>
    </font>
    <font>
      <sz val="11"/>
      <color theme="0" tint="-0.49998474074526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  <font>
      <b/>
      <sz val="11"/>
      <color theme="4"/>
      <name val="Calibri"/>
      <family val="2"/>
      <charset val="238"/>
      <scheme val="minor"/>
    </font>
    <font>
      <b/>
      <sz val="11"/>
      <color theme="7"/>
      <name val="Calibri"/>
      <family val="2"/>
      <charset val="238"/>
      <scheme val="minor"/>
    </font>
    <font>
      <b/>
      <sz val="11"/>
      <color theme="1" tint="0.499984740745262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quotePrefix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49" fontId="0" fillId="0" borderId="0" xfId="0" quotePrefix="1" applyNumberFormat="1" applyAlignment="1">
      <alignment horizontal="right"/>
    </xf>
    <xf numFmtId="0" fontId="9" fillId="0" borderId="0" xfId="0" applyFont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13" fillId="0" borderId="0" xfId="0" applyFont="1"/>
    <xf numFmtId="0" fontId="10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0" borderId="0" xfId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14" fillId="0" borderId="0" xfId="0" quotePrefix="1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0" fillId="5" borderId="5" xfId="0" applyFill="1" applyBorder="1"/>
    <xf numFmtId="0" fontId="0" fillId="5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5" xfId="0" applyFill="1" applyBorder="1"/>
    <xf numFmtId="0" fontId="0" fillId="0" borderId="0" xfId="0" quotePrefix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19" fillId="0" borderId="0" xfId="0" applyFont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5" borderId="5" xfId="0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10" borderId="1" xfId="0" applyFont="1" applyFill="1" applyBorder="1" applyAlignment="1">
      <alignment horizontal="center"/>
    </xf>
    <xf numFmtId="0" fontId="3" fillId="0" borderId="0" xfId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4" fillId="0" borderId="0" xfId="0" applyNumberFormat="1" applyFont="1" applyAlignment="1">
      <alignment horizontal="center" vertical="center" wrapText="1"/>
    </xf>
    <xf numFmtId="0" fontId="9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192"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charset val="238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textRotation="0" wrapText="1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1" indent="0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horizontal="general" vertical="bottom" textRotation="0" wrapText="1" indent="0" justifyLastLine="0" shrinkToFit="0" readingOrder="0"/>
    </dxf>
    <dxf>
      <alignment textRotation="0" wrapTex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249977111117893"/>
        <name val="Calibri"/>
        <family val="2"/>
        <charset val="238"/>
        <scheme val="minor"/>
      </font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i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alignment textRotation="0" wrapText="1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i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30" formatCode="@"/>
      <alignment horizontal="right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97155</xdr:rowOff>
    </xdr:to>
    <xdr:sp macro="" textlink="">
      <xdr:nvSpPr>
        <xdr:cNvPr id="3074" name="AutoShape 2" descr="Wygenerowany obraz 1">
          <a:extLst>
            <a:ext uri="{FF2B5EF4-FFF2-40B4-BE49-F238E27FC236}">
              <a16:creationId xmlns:a16="http://schemas.microsoft.com/office/drawing/2014/main" id="{5EFD15C8-0666-41CE-897C-655EE2EA7A2D}"/>
            </a:ext>
          </a:extLst>
        </xdr:cNvPr>
        <xdr:cNvSpPr>
          <a:spLocks noChangeAspect="1" noChangeArrowheads="1"/>
        </xdr:cNvSpPr>
      </xdr:nvSpPr>
      <xdr:spPr bwMode="auto">
        <a:xfrm>
          <a:off x="0" y="14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4021427</xdr:colOff>
      <xdr:row>19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59C21-0953-A87A-E2BF-9AE6C7A91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1427" cy="40195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674E7F0-0FD6-4A6C-B193-758DE5BCFEDE}" name="tab\CMP" displayName="tab\CMP" ref="A7:I66" totalsRowShown="0" headerRowDxfId="183" dataDxfId="182">
  <autoFilter ref="A7:I66" xr:uid="{B674E7F0-0FD6-4A6C-B193-758DE5BCFEDE}"/>
  <tableColumns count="9">
    <tableColumn id="1" xr3:uid="{03CA8F6B-ED92-41B0-B2A8-37FFE3D0364F}" name="ID" dataDxfId="181"/>
    <tableColumn id="2" xr3:uid="{FE622D20-335D-4D41-ABDD-D26AD4FD4978}" name="Dokument / czynność" dataDxfId="180"/>
    <tableColumn id="11" xr3:uid="{20BEACC4-B464-4626-AFDC-6C1D6A91B444}" name="Typ" dataDxfId="179"/>
    <tableColumn id="7" xr3:uid="{A90F958E-EC94-42DE-BB04-E57537702925}" name="Kategoria" dataDxfId="178"/>
    <tableColumn id="8" xr3:uid="{9203ED3E-839D-43F5-B4EF-28EE27AC3153}" name="Warunki" dataDxfId="177"/>
    <tableColumn id="4" xr3:uid="{912BCB31-01EF-4CE9-9687-01ED498715F7}" name="Podstawa prawna" dataDxfId="176"/>
    <tableColumn id="9" xr3:uid="{AC388D95-8662-43EC-BDE0-9D516E56799E}" name="Kontrola / aktualizacja / wytworzenie" dataDxfId="175"/>
    <tableColumn id="10" xr3:uid="{09B2D8F5-BAB1-45C4-BA28-8ED80E978755}" name="Status" dataDxfId="174"/>
    <tableColumn id="14" xr3:uid="{D14E7866-407C-4156-97C6-81B13299B803}" name="Zweryfikowany" dataDxfId="17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FCF80-D8A2-4284-A87A-2C3F0D1997F5}" name="tab\DOCS" displayName="tab\DOCS" ref="A7:H32" insertRowShift="1" totalsRowShown="0" headerRowDxfId="13" dataDxfId="12">
  <autoFilter ref="A7:H32" xr:uid="{29CFCF80-D8A2-4284-A87A-2C3F0D1997F5}"/>
  <tableColumns count="8">
    <tableColumn id="12" xr3:uid="{F45B4253-C559-4659-B2EF-B0F460AB772A}" name="ID" dataDxfId="11"/>
    <tableColumn id="1" xr3:uid="{72F99EEE-C4D3-490E-8253-F87A744A0534}" name="Dokument" dataDxfId="10"/>
    <tableColumn id="2" xr3:uid="{C08661BC-B5C7-4231-8F7A-157F5D0AC2D5}" name="Typ" dataDxfId="9"/>
    <tableColumn id="10" xr3:uid="{23FFCF3D-D283-46BD-901B-3CFF5143C898}" name="Lokalizacja" dataDxfId="8"/>
    <tableColumn id="5" xr3:uid="{5A7103E0-8889-472E-ACEE-241A855A496F}" name="Wersja" dataDxfId="7">
      <calculatedColumnFormula array="1">IFERROR(INDEX(
    tab\LOG[Wersja],
    MATCH(
        _xlfn.AGGREGATE(14,6,tab\LOG[Data]/(tab\LOG[Dokument]=tab\DOCS[[#This Row],[Dokument]]),1),
        tab\LOG[Data],
        0
    )
),"-")</calculatedColumnFormula>
    </tableColumn>
    <tableColumn id="6" xr3:uid="{751D2E15-84EB-47D4-BC0C-204232FD6F99}" name="Data" dataDxfId="6">
      <calculatedColumnFormula array="1">IFERROR(INDEX(
   tab\LOG[Data],
    MATCH(
        _xlfn.AGGREGATE(14,6,tab\LOG[Data]/(tab\LOG[Dokument]=tab\DOCS[[#This Row],[Dokument]]),1),
        tab\LOG[Data],
        0
    )
),"-")</calculatedColumnFormula>
    </tableColumn>
    <tableColumn id="9" xr3:uid="{9D1FFF58-D0DA-451C-B2BC-83B8A9DD6BCB}" name="Komentarz" dataDxfId="5"/>
    <tableColumn id="13" xr3:uid="{3202C84A-2EF7-425F-981C-2BE375AA5BAB}" name="HLP_INT" dataDxfId="4">
      <calculatedColumnFormula array="1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399BD0-AE2C-4627-B5FC-893CEFC1786D}" name="tab\INFO" displayName="tab\INFO" ref="A8:I11" totalsRowShown="0" headerRowDxfId="172" dataDxfId="171">
  <autoFilter ref="A8:I11" xr:uid="{C8399BD0-AE2C-4627-B5FC-893CEFC1786D}"/>
  <tableColumns count="9">
    <tableColumn id="7" xr3:uid="{F12F2E81-02E1-4AC6-B926-1255DBD6A74C}" name="ID" dataDxfId="170"/>
    <tableColumn id="1" xr3:uid="{F2D62AB6-9A0A-4702-A3C8-7DD95079B0F8}" name="Rola" dataDxfId="169"/>
    <tableColumn id="6" xr3:uid="{E6897194-0380-40EB-B0EC-1D94AFA44F4F}" name="Status" dataDxfId="168"/>
    <tableColumn id="2" xr3:uid="{73714BF9-EB1E-4A9E-8513-CD93ABEF63DE}" name="Nazwa" dataDxfId="167"/>
    <tableColumn id="3" xr3:uid="{04B4701B-D8B3-49D1-A115-DEC7AB76BA8F}" name="Adres" dataDxfId="166"/>
    <tableColumn id="4" xr3:uid="{D69CE503-1A56-4145-A58B-E96685A32F8F}" name="Email" dataDxfId="165"/>
    <tableColumn id="5" xr3:uid="{7D831372-69BD-4939-B95E-2544FF2E784B}" name="Telefon" dataDxfId="164"/>
    <tableColumn id="8" xr3:uid="{2EE2A0CC-E7D0-4103-8201-C1D4524D047F}" name="Od" dataDxfId="163"/>
    <tableColumn id="9" xr3:uid="{D088F0AF-9A46-40D5-B8CC-E9B72AFFFFCF}" name="Do" dataDxfId="16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3B2A214-D78D-44EE-82FB-BCCFA4425A8F}" name="tab\LOG" displayName="tab\LOG" ref="A8:F20" totalsRowShown="0" headerRowDxfId="161">
  <autoFilter ref="A8:F20" xr:uid="{E3B2A214-D78D-44EE-82FB-BCCFA4425A8F}"/>
  <tableColumns count="6">
    <tableColumn id="1" xr3:uid="{E2FFA46C-73BA-4B90-9333-93643FC8FFD4}" name="ID" dataDxfId="160"/>
    <tableColumn id="2" xr3:uid="{102E7A8F-82F8-44B0-8DBB-2DBA67696BD9}" name="Data" dataDxfId="159"/>
    <tableColumn id="3" xr3:uid="{3C98775C-9138-40F9-AF11-502F2DF8DAD3}" name="Aktywność"/>
    <tableColumn id="4" xr3:uid="{AB6FB481-0625-4FAD-BE37-D10E0FF6C486}" name="Dokument"/>
    <tableColumn id="5" xr3:uid="{FBE4AF73-746B-4E23-AEB6-B2B889127037}" name="Wersja" dataDxfId="158"/>
    <tableColumn id="6" xr3:uid="{F2C6C8EA-4918-4A75-9F6B-2940D676DA53}" name="Op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7B98E4-408D-4EDB-8CD2-906D4CAAE7E2}" name="tab\RCP" displayName="tab\RCP" ref="A8:Q14" totalsRowShown="0" headerRowDxfId="157" dataDxfId="156">
  <autoFilter ref="A8:Q14" xr:uid="{DB7B98E4-408D-4EDB-8CD2-906D4CAAE7E2}"/>
  <tableColumns count="17">
    <tableColumn id="1" xr3:uid="{424074AE-CB2F-4AF9-8194-C9B1C285E2C2}" name="ID" dataDxfId="155"/>
    <tableColumn id="2" xr3:uid="{328C32DA-F41A-4D20-A90E-8A60ADBEF2C0}" name="Nazwa czynności przetwarzania" dataDxfId="154"/>
    <tableColumn id="3" xr3:uid="{D08AC7D1-4A4D-45A2-95E0-25236878E5E8}" name="Jednostka organizacyjna" dataDxfId="153"/>
    <tableColumn id="4" xr3:uid="{37B1A046-7553-4530-AF08-6462FA1573EC}" name="Cel przetwarzania" dataDxfId="152"/>
    <tableColumn id="5" xr3:uid="{FAA7EBF9-BCD2-408B-9395-A47A3D6A8D6D}" name="Kategorie osób" dataDxfId="151"/>
    <tableColumn id="6" xr3:uid="{80E395BC-C45C-4F2F-9477-37A2243D73ED}" name="Kategorie danych" dataDxfId="150"/>
    <tableColumn id="7" xr3:uid="{EF0BB10F-0888-46AD-9F48-1FDED00B07F9}" name="Podstawa prawna" dataDxfId="149"/>
    <tableColumn id="8" xr3:uid="{F9EF426A-F1B7-4DBC-B8D3-04D8749314A2}" name="Źródło danych" dataDxfId="148"/>
    <tableColumn id="9" xr3:uid="{D5D6A0D2-8DC5-4BFF-A694-1E4B91128727}" name="Planowany termin usunięcia kategorii danych" dataDxfId="147"/>
    <tableColumn id="10" xr3:uid="{F0FA7E43-C9E8-4A62-B7D6-8B0CED966F4D}" name="Współadministrator" dataDxfId="146">
      <calculatedColumnFormula array="1">IF(
    COUNTIF(tab\ADMxRCP[Czynność przetwarzania], tab\RCP[[#This Row],[Nazwa czynności przetwarzania]])=0,
    var\Symbol.NotApplicable,
    _xlfn.TEXTJOIN("; ", TRUE,
        IF(tab\PROCxRCP[Czynność przetwarzania]=tab\RCP[[#This Row],[Nazwa czynności przetwarzania]], tab\ADMxRCP[Administrator], "")
    )
)</calculatedColumnFormula>
    </tableColumn>
    <tableColumn id="11" xr3:uid="{1E0446D7-D165-4ECD-A640-8C0B2F1C7D7E}" name="Podmiot przetwarzający" dataDxfId="145">
      <calculatedColumnFormula array="1">IF(
    COUNTIF(tab\PROCxRCP[Czynność przetwarzania], tab\RCP[[#This Row],[Nazwa czynności przetwarzania]])=0,
    var\Symbol.NotApplicable,
    _xlfn.TEXTJOIN("; ", TRUE,
        IF(tab\PROCxRCP[Czynność przetwarzania]=tab\RCP[[#This Row],[Nazwa czynności przetwarzania]], tab\PROCxRCP[Procesor], "")
    )
)</calculatedColumnFormula>
    </tableColumn>
    <tableColumn id="12" xr3:uid="{8C69E368-616F-4B31-814F-375A378504CC}" name="Kategorie odbiorców (innych niż procesor)" dataDxfId="144"/>
    <tableColumn id="13" xr3:uid="{09F1446A-5342-4914-B960-7E2188F4F1C3}" name="System / oprogramowanie" dataDxfId="143">
      <calculatedColumnFormula array="1">IF(
    COUNTIF(tab\SYSxRCP[Czynność przetwarzania], tab\RCP[[#This Row],[Nazwa czynności przetwarzania]])=0,
    var\Symbol.NotApplicable,
    _xlfn.TEXTJOIN("; ", TRUE,
        IF(tab\SYSxRCP[Czynność przetwarzania]=tab\RCP[[#This Row],[Nazwa czynności przetwarzania]], tab\SYSxRCP[System], "")
    )
)</calculatedColumnFormula>
    </tableColumn>
    <tableColumn id="14" xr3:uid="{7727C54E-8528-47BE-8795-242EEC6E855C}" name="Ogólny opis środków bezpieczeństwa art. 32 ust. 1" dataDxfId="142"/>
    <tableColumn id="15" xr3:uid="{BD6B5FA8-4C43-450B-9CE1-7CC580109AA2}" name="DPIA" dataDxfId="141"/>
    <tableColumn id="16" xr3:uid="{157F62B5-09D7-405B-BCE1-8F9E1E04D270}" name="Transfer do kraju trzeciego lub organizacji międzynarodowej (nazwa kraju i podmiotu) " dataDxfId="140"/>
    <tableColumn id="17" xr3:uid="{082B0A28-2173-4235-81C8-95DFA790EADB}" name="Dokumentacja odpowiednich zabezpieczeń przy transferze" dataDxfId="13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19B5A4E-61E2-4C62-8B9E-386F4F48E384}" name="tab\AROD" displayName="tab\AROD" ref="A8:O104" totalsRowShown="0" headerRowDxfId="138" dataDxfId="137" tableBorderDxfId="136">
  <autoFilter ref="A8:O104" xr:uid="{319B5A4E-61E2-4C62-8B9E-386F4F48E384}"/>
  <tableColumns count="15">
    <tableColumn id="1" xr3:uid="{422C2568-BDC7-484C-B94A-2158E5BBA97B}" name="ID" dataDxfId="135"/>
    <tableColumn id="17" xr3:uid="{22F1F881-2478-4159-877B-DF065726D81F}" name="RISK ID" dataDxfId="134"/>
    <tableColumn id="10" xr3:uid="{78A2D55B-EF0E-47F9-9292-86A985959933}" name="Opis ryzyka systemowego" dataDxfId="133">
      <calculatedColumnFormula array="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calculatedColumnFormula>
    </tableColumn>
    <tableColumn id="3" xr3:uid="{355752E8-08AB-4F7D-A698-8606DD08523F}" name="Prawdopodobieństwo" dataDxfId="132"/>
    <tableColumn id="4" xr3:uid="{217AD8BB-C76D-42A9-878A-790F96A00C26}" name="Wpływ" dataDxfId="131"/>
    <tableColumn id="5" xr3:uid="{0A6D6DD1-BAD7-4836-9F76-5DE84D755CE5}" name="Pierwotne ryzyko systemowe" dataDxfId="130">
      <calculatedColumnFormula>tab\AROD[[#This Row],[Prawdopodobieństwo]]*tab\AROD[[#This Row],[Wpływ]]</calculatedColumnFormula>
    </tableColumn>
    <tableColumn id="12" xr3:uid="{180FA8A6-AA6D-4138-9F1A-E3EF80B2DE9F}" name="Ocena pierwotnego ryzyka systemowego" dataDxfId="129">
      <calculatedColumnFormula array="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calculatedColumnFormula>
    </tableColumn>
    <tableColumn id="11" xr3:uid="{3D04A5FB-A6E6-4ECE-B9B7-DFDBF8A8C020}" name="Strategia" dataDxfId="128"/>
    <tableColumn id="6" xr3:uid="{4AA51F52-4EA1-4ABD-B6E7-C2E5CA6E81BD}" name="Zabezpieczenia" dataDxfId="127"/>
    <tableColumn id="15" xr3:uid="{5A9B421F-2962-44F2-B1AD-35A2D8B78CF2}" name="Prawdopodobienstwo po zabezpieczeniach" dataDxfId="126"/>
    <tableColumn id="16" xr3:uid="{635DFF79-B2B9-4B36-BEFE-0D0812B9FCC5}" name="Wpływ po zabezpieczeniach" dataDxfId="125"/>
    <tableColumn id="7" xr3:uid="{F57385F7-EC35-4A3C-BF8C-4C08C60F1F8B}" name="Ryzyko rezydualne" dataDxfId="124">
      <calculatedColumnFormula>tab\AROD[[#This Row],[Wpływ po zabezpieczeniach]]*tab\AROD[[#This Row],[Prawdopodobienstwo po zabezpieczeniach]]</calculatedColumnFormula>
    </tableColumn>
    <tableColumn id="13" xr3:uid="{6093D383-3B3F-41D8-88A9-CA1E8035DDAC}" name="Ocena ryzyka rezydualnego" dataDxfId="123">
      <calculatedColumnFormula array="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calculatedColumnFormula>
    </tableColumn>
    <tableColumn id="8" xr3:uid="{502513C5-8841-49DB-B47D-C19361083811}" name="Akceptacja" dataDxfId="122"/>
    <tableColumn id="14" xr3:uid="{B196C742-F139-457A-948B-5F5CBCE0F8B8}" name="Komentarz" dataDxfId="1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0AFEC-F286-415D-9358-DC2A68F469A6}" name="tab\RNOD" displayName="tab\RNOD" ref="A8:Y9" totalsRowShown="0" headerRowDxfId="120" dataDxfId="119">
  <autoFilter ref="A8:Y9" xr:uid="{6090AFEC-F286-415D-9358-DC2A68F469A6}"/>
  <tableColumns count="25">
    <tableColumn id="1" xr3:uid="{55C96F6F-3047-4ABD-BB97-114D99373C59}" name="ID" dataDxfId="118"/>
    <tableColumn id="2" xr3:uid="{9E8FFFC6-DE4F-4C1F-B28E-AFFF0270B2F6}" name="Data/czas zdarzenia" dataDxfId="117"/>
    <tableColumn id="3" xr3:uid="{3DAEB8FA-541F-4D3A-AAF6-B31520FD556A}" name="Data/czas wykrycia" dataDxfId="116"/>
    <tableColumn id="4" xr3:uid="{1FAFE323-5C23-4B4E-BFE2-67DCC0CC196A}" name="Typ zdarzenia" dataDxfId="115"/>
    <tableColumn id="25" xr3:uid="{997C473D-DD43-473D-B030-CD9A8C42EFB1}" name="Naruszenie poufności" dataDxfId="114"/>
    <tableColumn id="24" xr3:uid="{AC8A312A-2AA0-4B6F-A5C4-ED3FD83D06A5}" name="Naruszenie integralności" dataDxfId="113"/>
    <tableColumn id="5" xr3:uid="{EED7015D-7318-4B5B-8ECE-84B94C1F59D3}" name="Naruszenie dostępu" dataDxfId="112"/>
    <tableColumn id="6" xr3:uid="{9C4A7C06-5B30-4C65-A867-4584BEAE22CA}" name="Opis / okoliczności" dataDxfId="111"/>
    <tableColumn id="7" xr3:uid="{AD9FCEB7-1D94-4426-A7B3-005635ACA932}" name="Przyczyna" dataDxfId="110"/>
    <tableColumn id="8" xr3:uid="{D08BE09A-F578-44D7-AC6E-DA23363E5E1C}" name="Kategorie danych" dataDxfId="109"/>
    <tableColumn id="9" xr3:uid="{681E735D-5E8A-4DD5-8D69-16B5E0DAD03A}" name="Kategorie osób" dataDxfId="108"/>
    <tableColumn id="10" xr3:uid="{C6BD7BE8-52A1-46FE-8A31-61F086835392}" name="Liczba osób" dataDxfId="107"/>
    <tableColumn id="11" xr3:uid="{533358A8-C638-4D6B-A3E5-2BE4F6C27843}" name="Liczba rekordów/dokumentów" dataDxfId="106"/>
    <tableColumn id="12" xr3:uid="{B9F9F30C-749A-4074-BD0D-CCDE4DA4E4FA}" name="Skutki / możliwe konsekwencje" dataDxfId="105"/>
    <tableColumn id="13" xr3:uid="{04BDBE03-FD4E-4B98-B5FD-0920664C0911}" name="Ocena ryzyka dla osób" dataDxfId="104"/>
    <tableColumn id="14" xr3:uid="{C48C6162-DA34-4E7C-B8D9-79AD4451CEA2}" name="Uzasadnienie oceny" dataDxfId="103"/>
    <tableColumn id="15" xr3:uid="{BD8FDBEA-215D-4BA8-BA8A-BA1D26C12ED5}" name="Działania natychmiastowe" dataDxfId="102"/>
    <tableColumn id="16" xr3:uid="{269D097E-6796-478C-A061-8F7DE6D3D543}" name="Działania zaradcze" dataDxfId="101"/>
    <tableColumn id="17" xr3:uid="{DD3EFF35-26FC-4B65-9C01-DB081E090660}" name="Zgłoszenie do PUODO" dataDxfId="100"/>
    <tableColumn id="18" xr3:uid="{7F56F0E8-EC70-4FBB-9618-E0AE15FE1946}" name="Uzasadnienie braku zgłoszenia" dataDxfId="99"/>
    <tableColumn id="19" xr3:uid="{EFAB0AEF-4F0B-48B4-ADA4-E1523D6881F3}" name="Data zgłoszenia" dataDxfId="98"/>
    <tableColumn id="20" xr3:uid="{166F371A-D134-4749-AF63-2DA99D7B013C}" name="Zawiadomienie osoby" dataDxfId="97"/>
    <tableColumn id="21" xr3:uid="{407B3D7C-605B-4EB2-81BE-3B3A39E7EB19}" name="Uzasadnienie decyzji" dataDxfId="96"/>
    <tableColumn id="22" xr3:uid="{A9866E0D-DD48-4BF6-835C-1A47924CC0B2}" name="Status" dataDxfId="95"/>
    <tableColumn id="23" xr3:uid="{0D1914D4-A0F4-4C08-9520-7AE23A74D08C}" name="Powiązane dokumenty" dataDxfId="9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8E31DCF-F145-4C3E-A766-4D04E76AA2CC}" name="tab\QDP" displayName="tab\QDP" ref="A8:D20" totalsRowShown="0" headerRowDxfId="93" tableBorderDxfId="92">
  <autoFilter ref="A8:D20" xr:uid="{C8E31DCF-F145-4C3E-A766-4D04E76AA2CC}"/>
  <sortState xmlns:xlrd2="http://schemas.microsoft.com/office/spreadsheetml/2017/richdata2" ref="A9:D20">
    <sortCondition ref="A8:A20"/>
  </sortState>
  <tableColumns count="4">
    <tableColumn id="1" xr3:uid="{1760286C-C7CD-4103-A821-FC83FCB40AA5}" name="ID"/>
    <tableColumn id="2" xr3:uid="{52D2E570-0939-4FDD-9791-1607DCE9A7E4}" name="Kryterium kwalifikacyjne" dataDxfId="91"/>
    <tableColumn id="3" xr3:uid="{3CED89B6-7676-44AF-B095-5A399D85BFED}" name="Potrzebna ocena"/>
    <tableColumn id="4" xr3:uid="{CED049A5-9110-46CD-9176-3C1163021A2C}" name="Opis" dataDxfId="9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7A6E0AF-930F-4A66-B54C-BD3A328F2ECF}" name="tab\DPIA" displayName="tab\DPIA" ref="A8:G9" totalsRowShown="0" headerRowDxfId="89" tableBorderDxfId="88">
  <autoFilter ref="A8:G9" xr:uid="{E7A6E0AF-930F-4A66-B54C-BD3A328F2ECF}"/>
  <tableColumns count="7">
    <tableColumn id="1" xr3:uid="{E6699CEB-9070-4868-85E1-F8E82FC3206A}" name="ID" dataDxfId="87"/>
    <tableColumn id="2" xr3:uid="{6D21EB50-4197-4B87-B7BB-228B939B4079}" name="Operacje przetwarzania" dataDxfId="86"/>
    <tableColumn id="3" xr3:uid="{6C6BFB70-C4C3-4A06-B989-D1C6CC30E237}" name="Cel przetwarzania" dataDxfId="85"/>
    <tableColumn id="4" xr3:uid="{E90A6281-770C-46F7-B09C-DC9CE454C4A9}" name="Ocena niezbędności"/>
    <tableColumn id="7" xr3:uid="{CC87A17A-63FF-4C88-AB7E-B65CD569F86F}" name="Ocena proporcjonalności"/>
    <tableColumn id="5" xr3:uid="{476C6D01-CD64-4DF2-94B9-22F61621497F}" name="Ocena ryzyka naruszenia praw i wolności osób"/>
    <tableColumn id="6" xr3:uid="{1AB25B78-90BF-4104-9E92-D2CBE1E6CD9C}" name="Środki planowane w celu zaradzenia ryzyku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A8364C1-8306-473D-8C99-B285375B27E8}" name="tab\MED" displayName="tab\MED" ref="A8:I9" totalsRowShown="0" headerRowDxfId="84" dataDxfId="83">
  <autoFilter ref="A8:I9" xr:uid="{FA8364C1-8306-473D-8C99-B285375B27E8}"/>
  <tableColumns count="9">
    <tableColumn id="1" xr3:uid="{BD7F628F-4637-4002-91EF-5651278E749E}" name="ID" dataDxfId="82"/>
    <tableColumn id="2" xr3:uid="{65381DC8-40C8-4332-ADAB-C1AEFA66BC09}" name="Imię i nazwisko pacjenta" dataDxfId="81"/>
    <tableColumn id="3" xr3:uid="{B0991F58-0B17-47C1-9103-A9C0679D4C90}" name="Sposób udostępnienia" dataDxfId="80"/>
    <tableColumn id="4" xr3:uid="{596D2BCD-ABCB-4BD5-831E-E34ADB2150FF}" name="Zakres udostępnionej dokumentacji" dataDxfId="79"/>
    <tableColumn id="10" xr3:uid="{E0182AC5-2407-4A56-BC66-3BAEAD5303C9}" name="Opis udostępnionego zakresu" dataDxfId="78"/>
    <tableColumn id="11" xr3:uid="{D9922476-D05C-4413-94CD-D31E1EC12E41}" name="Kategoria odbiorcy" dataDxfId="77"/>
    <tableColumn id="5" xr3:uid="{60B0ED7D-5851-406F-A175-F09435C8F15A}" name="Odbiorca" dataDxfId="76"/>
    <tableColumn id="7" xr3:uid="{FA1BF28A-A3A8-4C41-9989-11D88E9D0D47}" name="Osoba udostępniająca" dataDxfId="75"/>
    <tableColumn id="9" xr3:uid="{6EFFD200-774A-423C-8CB7-59D7811C2F24}" name="Data udostępnienia" dataDxfId="7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CCB178B-662D-44EF-A8F6-92EBF63BF52E}" name="tab\Dict.UPO" displayName="tab\Dict.UPO" ref="A8:F9" totalsRowShown="0" headerRowDxfId="73" dataDxfId="72">
  <autoFilter ref="A8:F9" xr:uid="{1CCB178B-662D-44EF-A8F6-92EBF63BF52E}"/>
  <tableColumns count="6">
    <tableColumn id="1" xr3:uid="{5653CA9F-F79D-4669-93A4-5E28E7B55262}" name="ID" dataDxfId="71"/>
    <tableColumn id="2" xr3:uid="{DDEAA610-05C3-4B02-8829-DB014AC92710}" name="Nazwa" dataDxfId="70"/>
    <tableColumn id="3" xr3:uid="{9B84F7F2-ED3A-49C2-A997-8D81FEB6C760}" name="Adres" dataDxfId="69"/>
    <tableColumn id="4" xr3:uid="{622DDDD7-79F7-4E17-BC33-495E2765457C}" name="Email" dataDxfId="68"/>
    <tableColumn id="5" xr3:uid="{EBAC8A1A-86C2-433C-8097-B913805A18C9}" name="Telefon" dataDxfId="67"/>
    <tableColumn id="6" xr3:uid="{C2262BA5-C73D-4AD2-BC3E-F1B549498407}" name="Upoważnienie" dataDxfId="66">
      <calculatedColumnFormula>"Link"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86A37C1-9405-4943-BC85-3C15C4A14602}" name="tab\UPOxRCP" displayName="tab\UPOxRCP" ref="A7:B56" totalsRowShown="0">
  <autoFilter ref="A7:B56" xr:uid="{386A37C1-9405-4943-BC85-3C15C4A14602}"/>
  <tableColumns count="2">
    <tableColumn id="1" xr3:uid="{043CFCF2-A5BE-4A7D-A7E6-E43543D16E60}" name="Osoba upoważniona"/>
    <tableColumn id="2" xr3:uid="{48179691-3DB5-4BEB-A53D-2CDD3D644D8D}" name="Czynność przetwarzani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E7423CF-C9F5-4E25-BECE-F7D05E49132F}" name="tab\Dict.PROC" displayName="tab\Dict.PROC" ref="A8:G9" totalsRowShown="0" headerRowDxfId="65" dataDxfId="64">
  <autoFilter ref="A8:G9" xr:uid="{0E7423CF-C9F5-4E25-BECE-F7D05E49132F}"/>
  <tableColumns count="7">
    <tableColumn id="1" xr3:uid="{DF4DA306-49D8-4978-8CAB-DB4F8A676011}" name="ID" dataDxfId="63"/>
    <tableColumn id="2" xr3:uid="{776F28A9-E4EE-4F30-88D7-2743DFF0EB2E}" name="Nazwa" dataDxfId="62"/>
    <tableColumn id="3" xr3:uid="{6938104C-8BBE-4C30-A52D-CF5B8DD08739}" name="Adres" dataDxfId="61"/>
    <tableColumn id="4" xr3:uid="{A8C13A12-A400-417E-9FE8-7110F3625B03}" name="Email" dataDxfId="60"/>
    <tableColumn id="5" xr3:uid="{12FCB232-19CF-4F9E-9DE4-0645539E5100}" name="Telefon" dataDxfId="59"/>
    <tableColumn id="7" xr3:uid="{8319D6D8-636C-40A7-A060-CBD789F3315D}" name="Umowa " dataDxfId="58">
      <calculatedColumnFormula>"Link"</calculatedColumnFormula>
    </tableColumn>
    <tableColumn id="6" xr3:uid="{2C28BFC6-1565-4461-8040-1680F5E74E35}" name="Opis" dataDxfId="57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F9C7D86-9D25-4CDB-A958-2491918B9E3D}" name="tab\PROCxRCP" displayName="tab\PROCxRCP" ref="A7:B55" totalsRowShown="0">
  <autoFilter ref="A7:B55" xr:uid="{386A37C1-9405-4943-BC85-3C15C4A14602}"/>
  <tableColumns count="2">
    <tableColumn id="1" xr3:uid="{5AE63B38-1A2E-4D70-BF6A-12474D562272}" name="Procesor"/>
    <tableColumn id="2" xr3:uid="{31BD55DE-EC94-4F05-8984-A613E5742851}" name="Czynność przetwarzani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80F773-65DC-4E59-829A-A6E35D6B6543}" name="tab\Dict.ADM" displayName="tab\Dict.ADM" ref="A8:E9" totalsRowShown="0" headerRowDxfId="56" dataDxfId="55">
  <autoFilter ref="A8:E9" xr:uid="{9080F773-65DC-4E59-829A-A6E35D6B6543}"/>
  <tableColumns count="5">
    <tableColumn id="1" xr3:uid="{79BDF94A-DE37-47E4-B768-F16A240152FA}" name="ID" dataDxfId="54"/>
    <tableColumn id="2" xr3:uid="{11B4E011-01CA-40E8-BA5E-D7F5FD2A3A04}" name="Nazwa" dataDxfId="53"/>
    <tableColumn id="3" xr3:uid="{3EBE4FF7-378A-4590-A3CB-43DE0F12618B}" name="Adres" dataDxfId="52"/>
    <tableColumn id="4" xr3:uid="{26C8A79A-CB7C-4355-B60E-BD8981AAFEA2}" name="Email" dataDxfId="51"/>
    <tableColumn id="5" xr3:uid="{8C91267B-E36D-452C-9FFE-1C0953E7BDCE}" name="Telefon" dataDxfId="50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0CF3276-0295-4249-83C2-3097358B9769}" name="tab\ADMxRCP" displayName="tab\ADMxRCP" ref="A7:B56" totalsRowShown="0" headerRowDxfId="49">
  <autoFilter ref="A7:B56" xr:uid="{386A37C1-9405-4943-BC85-3C15C4A14602}"/>
  <tableColumns count="2">
    <tableColumn id="1" xr3:uid="{EE38D10A-2FF4-4B27-8390-5FE050F69979}" name="Administrator"/>
    <tableColumn id="2" xr3:uid="{0B1B69D4-B4AC-4BFE-9B1F-C4DD0413D777}" name="Czynność przetwarzani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D81EC1-8CEC-47DC-9C3B-E9F4D3035DD6}" name="tab\Dict.SYS" displayName="tab\Dict.SYS" ref="A8:C13" totalsRowShown="0" headerRowDxfId="48" dataDxfId="47">
  <autoFilter ref="A8:C13" xr:uid="{D0D81EC1-8CEC-47DC-9C3B-E9F4D3035DD6}"/>
  <tableColumns count="3">
    <tableColumn id="1" xr3:uid="{03B6D08C-80E0-449A-8AF1-EFD0978F34A5}" name="ID" dataDxfId="46"/>
    <tableColumn id="2" xr3:uid="{BA451E02-9858-4979-B3FB-723B0EE479AF}" name="Nazwa" dataDxfId="45"/>
    <tableColumn id="3" xr3:uid="{980B36A4-D751-4351-9538-3F07BA5FD3D2}" name="Znaczenie" dataDxfId="44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336C662-3B89-4995-8962-2BF9F0428E84}" name="tab\SYSxRCP" displayName="tab\SYSxRCP" ref="A7:B56" totalsRowShown="0" headerRowDxfId="43">
  <autoFilter ref="A7:B56" xr:uid="{386A37C1-9405-4943-BC85-3C15C4A14602}"/>
  <tableColumns count="2">
    <tableColumn id="1" xr3:uid="{E0491161-BF0B-4EC8-B1DF-799870FF5831}" name="System"/>
    <tableColumn id="2" xr3:uid="{ACAC1BFC-4BDC-4068-800B-35C8FECA7DF7}" name="Czynność przetwarzani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5AD3EBA-8957-4289-A337-58B5E75F3C31}" name="tab\Dict.SEC" displayName="tab\Dict.SEC" ref="A7:D69" totalsRowShown="0" headerRowDxfId="42" dataDxfId="41">
  <autoFilter ref="A7:D69" xr:uid="{C6DBC501-41C6-4456-802B-BEA49C954970}"/>
  <tableColumns count="4">
    <tableColumn id="1" xr3:uid="{4C062A84-610F-4041-B2DD-47D22E9F3C69}" name="ID" dataDxfId="40"/>
    <tableColumn id="2" xr3:uid="{95ADD775-33A3-4D51-BF99-86AB979F13AE}" name="Obszar" dataDxfId="39"/>
    <tableColumn id="3" xr3:uid="{C324FDEF-1B0E-4540-9B88-23F231635A1C}" name="Zabezpieczenie" dataDxfId="38"/>
    <tableColumn id="4" xr3:uid="{925CF86F-68A8-4C27-8B85-2542D9E46ADA}" name="Opis" dataDxfId="37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92BAB06-5884-42D6-B48C-5FF2315CC25E}" name="tab\CFG" displayName="tab\CFG" ref="A7:H142" totalsRowShown="0" headerRowDxfId="191" tableBorderDxfId="190">
  <autoFilter ref="A7:H142" xr:uid="{492BAB06-5884-42D6-B48C-5FF2315CC25E}"/>
  <sortState xmlns:xlrd2="http://schemas.microsoft.com/office/spreadsheetml/2017/richdata2" ref="A8:H142">
    <sortCondition ref="C7:C142"/>
  </sortState>
  <tableColumns count="8">
    <tableColumn id="1" xr3:uid="{51ADCBB5-0333-4CCD-841F-AF4BE168D174}" name="ID" dataDxfId="189"/>
    <tableColumn id="2" xr3:uid="{70636616-604B-4DB5-AAE2-E85795A8DBFB}" name="OBJ ID" dataDxfId="188"/>
    <tableColumn id="3" xr3:uid="{D97F8C29-467A-47ED-B146-F020CF69C63E}" name="Key"/>
    <tableColumn id="4" xr3:uid="{E5853678-CA91-45C1-B694-C341D1522FE4}" name="Value" dataDxfId="187"/>
    <tableColumn id="5" xr3:uid="{3739FAE1-F063-4BEC-8BBF-C743FFCC5A06}" name="Opis"/>
    <tableColumn id="6" xr3:uid="{42B8BFCC-2424-4594-ABAD-7E03980CF441}" name="Sort" dataDxfId="186"/>
    <tableColumn id="7" xr3:uid="{C4C0798D-0CE0-4B37-9734-EA096D0DEF36}" name="Formula 2007" dataDxfId="185">
      <calculatedColumnFormula>"=INDEX(tab\CFG[Value];MATCH(""" &amp;tab\CFG[[#This Row],[Key]]&amp;""";tab\CFG[Key];0)):INDEX(tab\CFG[Value];MATCH("""&amp;tab\CFG[[#This Row],[Key]]&amp;""";tab\CFG[Key];0)+COUNTIF(tab\CFG[Key];"""&amp;tab\CFG[[#This Row],[Key]]&amp;""")-1)"</calculatedColumnFormula>
    </tableColumn>
    <tableColumn id="8" xr3:uid="{4E2A4493-FE69-4749-86FA-0E13A1AF2021}" name="Formula 2021" dataDxfId="184">
      <calculatedColumnFormula>"=FILTER(tab\CFG[Value];tab\CFG[Key]="""&amp;tab\CFG[[#This Row],[Key]]&amp;""")"</calculatedColumnFormula>
    </tableColumn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DBC501-41C6-4456-802B-BEA49C954970}" name="tab\Dict.KCP" displayName="tab\Dict.KCP" ref="A7:C22" totalsRowShown="0" headerRowDxfId="36" dataDxfId="35">
  <autoFilter ref="A7:C22" xr:uid="{C6DBC501-41C6-4456-802B-BEA49C954970}"/>
  <tableColumns count="3">
    <tableColumn id="1" xr3:uid="{2F33A5D5-3ACE-48D7-9419-FD58C4EAB864}" name="ID" dataDxfId="34"/>
    <tableColumn id="2" xr3:uid="{AD5EC299-01E9-4B7B-94AC-C4C486E5175B}" name="Nazwa" dataDxfId="33"/>
    <tableColumn id="3" xr3:uid="{0CA9DDF6-2868-4FC5-8AE5-7B885328D003}" name="Zakres przetwarzania" dataDxfId="32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57EC7D-5F01-45E6-B0FD-3D7DA4A9687F}" name="tab\Dict.EVNT" displayName="tab\Dict.EVNT" ref="A7:G32" totalsRowShown="0" headerRowDxfId="31" dataDxfId="30">
  <autoFilter ref="A7:G32" xr:uid="{C6DBC501-41C6-4456-802B-BEA49C954970}"/>
  <sortState xmlns:xlrd2="http://schemas.microsoft.com/office/spreadsheetml/2017/richdata2" ref="A8:E32">
    <sortCondition ref="B7:B32"/>
  </sortState>
  <tableColumns count="7">
    <tableColumn id="1" xr3:uid="{AB996ABC-C1E9-4E3D-AD02-EA9A436EFD9A}" name="ID" dataDxfId="29"/>
    <tableColumn id="5" xr3:uid="{5739382D-6754-45D4-BDEA-7C03BD4E25DC}" name="Obszar" dataDxfId="28"/>
    <tableColumn id="2" xr3:uid="{F81C0526-ABFF-43BB-9A78-FB4C07D3CD5C}" name="Zdarzenie" dataDxfId="27"/>
    <tableColumn id="3" xr3:uid="{8D4B2647-25E0-48E5-A4A8-5EB21D0EFED6}" name="Zakres przetwarzania" dataDxfId="26"/>
    <tableColumn id="4" xr3:uid="{04A6AA21-9902-4F80-95BF-2B94DA8B79D9}" name="Przykład" dataDxfId="25"/>
    <tableColumn id="6" xr3:uid="{8FAD6414-EBE2-4801-B5FB-D74787951551}" name="HLP_SEC" dataDxfId="24">
      <calculatedColumnFormula array="1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calculatedColumnFormula>
    </tableColumn>
    <tableColumn id="7" xr3:uid="{F061F57C-AC26-440F-89A3-9C124A08C73B}" name="HLP_DAT" dataDxfId="23">
      <calculatedColumnFormula array="1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calculatedColumnFormula>
    </tableColumn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7115C9-E3CF-4517-BD66-2FD6B7CAA042}" name="tab\Dict.AREA" displayName="tab\Dict.AREA" ref="A7:G49" totalsRowShown="0" headerRowDxfId="22" dataDxfId="21">
  <autoFilter ref="A7:G49" xr:uid="{1D7115C9-E3CF-4517-BD66-2FD6B7CAA042}"/>
  <tableColumns count="7">
    <tableColumn id="4" xr3:uid="{09EEDDEB-B6D5-4FE9-9554-FF6252602D1F}" name="ID" dataDxfId="20"/>
    <tableColumn id="1" xr3:uid="{505CF296-7836-4051-BE28-E3D1BE5F1313}" name="Obszar" dataDxfId="19"/>
    <tableColumn id="2" xr3:uid="{CB54C706-A1AD-4C52-B0C7-39BE2D205AAE}" name="Przyczyna" dataDxfId="18"/>
    <tableColumn id="3" xr3:uid="{F165FF8F-3713-4863-9C11-BF1BB5F01924}" name="Zdarzenie" dataDxfId="17"/>
    <tableColumn id="6" xr3:uid="{2F188F5A-20BB-4EF9-A975-D045144E1A8F}" name="Poufność" dataDxfId="16"/>
    <tableColumn id="7" xr3:uid="{E657E3B6-CFBA-46DC-9D18-F2E7E781B316}" name="Integralność" dataDxfId="15"/>
    <tableColumn id="8" xr3:uid="{2957BFC2-449C-4132-A75D-EFA6CA3DB7AF}" name="Dostępność" dataDxfId="14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RODO_v.1.0.m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Dokumenty_normatywne\Polityka%20backupu%20i%20odtwarzania%20danych.md" TargetMode="External"/><Relationship Id="rId13" Type="http://schemas.openxmlformats.org/officeDocument/2006/relationships/hyperlink" Target="Dokumenty_indywidualne_wzory\(Wz&#243;r)%20Wniosek%20o%20udost&#281;pnienie%20dokumentacji%20medycznej.md" TargetMode="External"/><Relationship Id="rId3" Type="http://schemas.openxmlformats.org/officeDocument/2006/relationships/hyperlink" Target="Dokumenty_normatywne\Procedura%20realizacji%20praw%20os&#243;b,%20kt&#243;rych%20dane%20dotycz&#261;.md" TargetMode="External"/><Relationship Id="rId7" Type="http://schemas.openxmlformats.org/officeDocument/2006/relationships/hyperlink" Target="Dokumenty_normatywne\Podstawy%20prawne%20procesu%20przetwarzania%20danych.md" TargetMode="External"/><Relationship Id="rId12" Type="http://schemas.openxmlformats.org/officeDocument/2006/relationships/hyperlink" Target="Dokumenty_indywidualne_wzory\(Wz&#243;r)%20Upowa&#380;nienie%20do%20dost&#281;pu%20do%20dokumentacji%20medycznej.md" TargetMode="External"/><Relationship Id="rId2" Type="http://schemas.openxmlformats.org/officeDocument/2006/relationships/hyperlink" Target="Dokumenty_normatywne\Procedura%20post&#281;powania%20w%20przypadku%20naruszenia.md" TargetMode="External"/><Relationship Id="rId16" Type="http://schemas.openxmlformats.org/officeDocument/2006/relationships/table" Target="../tables/table2.xml"/><Relationship Id="rId1" Type="http://schemas.openxmlformats.org/officeDocument/2006/relationships/hyperlink" Target="Dokumenty_normatywne\Klauzula%20informacyjna%20dla%20pacjent&#243;w.md" TargetMode="External"/><Relationship Id="rId6" Type="http://schemas.openxmlformats.org/officeDocument/2006/relationships/hyperlink" Target="Dokumenty_normatywne\Podzia&#322;%20obowi&#261;zk&#243;w%20w%20procesie%20przetwarzania%20danych.md" TargetMode="External"/><Relationship Id="rId11" Type="http://schemas.openxmlformats.org/officeDocument/2006/relationships/hyperlink" Target="Dokumenty_normatywne\Procedura%20udost&#281;pniania%20dokumentacji%20medycznej.md" TargetMode="External"/><Relationship Id="rId5" Type="http://schemas.openxmlformats.org/officeDocument/2006/relationships/hyperlink" Target="Dokumenty_indywidualne_wzory\(Wz&#243;r)%20Upowa&#380;nienie%20do%20przetwarzania%20danych%20osobowych.md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Dokumenty_normatywne\Polityka%20bezpiecze&#324;stwa%20informacji%20i%20ochrony%20danych%20osobowych.md" TargetMode="External"/><Relationship Id="rId4" Type="http://schemas.openxmlformats.org/officeDocument/2006/relationships/hyperlink" Target="Dokumenty_indywidualne_wzory\(Wz&#243;r)%20Umowa%20powierzenia%20przetwarzania%20danych%20osobowych.md" TargetMode="External"/><Relationship Id="rId9" Type="http://schemas.openxmlformats.org/officeDocument/2006/relationships/hyperlink" Target="Dokumenty_normatywne\Polityka%20retencji%20i%20usuwania%20danych.md" TargetMode="External"/><Relationship Id="rId14" Type="http://schemas.openxmlformats.org/officeDocument/2006/relationships/hyperlink" Target="Dokumenty_normatywne\Standard%20zabezpiecze&#324;%20technicznych%20i%20organizacyjnych.m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388A-3B5B-4979-BD12-B5A621E385CB}">
  <dimension ref="B2:F21"/>
  <sheetViews>
    <sheetView showGridLines="0" showRowColHeaders="0" tabSelected="1" zoomScaleNormal="100" workbookViewId="0">
      <selection activeCell="C32" sqref="C32"/>
    </sheetView>
  </sheetViews>
  <sheetFormatPr defaultRowHeight="15.6" x14ac:dyDescent="0.3"/>
  <cols>
    <col min="1" max="1" width="62.5546875" customWidth="1"/>
    <col min="2" max="2" width="3.5546875" style="28" customWidth="1"/>
    <col min="3" max="3" width="3.109375" style="12" customWidth="1"/>
    <col min="4" max="4" width="10.21875" customWidth="1"/>
    <col min="5" max="6" width="3.33203125" customWidth="1"/>
  </cols>
  <sheetData>
    <row r="2" spans="2:4" ht="21" x14ac:dyDescent="0.4">
      <c r="B2" s="29" t="s">
        <v>355</v>
      </c>
    </row>
    <row r="3" spans="2:4" x14ac:dyDescent="0.3">
      <c r="C3" s="12" t="s">
        <v>356</v>
      </c>
    </row>
    <row r="4" spans="2:4" x14ac:dyDescent="0.3">
      <c r="D4" t="s">
        <v>359</v>
      </c>
    </row>
    <row r="5" spans="2:4" x14ac:dyDescent="0.3">
      <c r="C5" s="12" t="s">
        <v>357</v>
      </c>
    </row>
    <row r="6" spans="2:4" x14ac:dyDescent="0.3">
      <c r="D6" s="91">
        <v>46275</v>
      </c>
    </row>
    <row r="7" spans="2:4" x14ac:dyDescent="0.3">
      <c r="C7" s="12" t="s">
        <v>43</v>
      </c>
    </row>
    <row r="8" spans="2:4" x14ac:dyDescent="0.3">
      <c r="D8" s="27" t="s">
        <v>51</v>
      </c>
    </row>
    <row r="9" spans="2:4" x14ac:dyDescent="0.3">
      <c r="C9" s="12" t="s">
        <v>358</v>
      </c>
    </row>
    <row r="10" spans="2:4" x14ac:dyDescent="0.3">
      <c r="D10" t="s">
        <v>360</v>
      </c>
    </row>
    <row r="12" spans="2:4" x14ac:dyDescent="0.3">
      <c r="C12" s="12" t="s">
        <v>361</v>
      </c>
    </row>
    <row r="13" spans="2:4" x14ac:dyDescent="0.3">
      <c r="D13" t="s">
        <v>612</v>
      </c>
    </row>
    <row r="14" spans="2:4" x14ac:dyDescent="0.3">
      <c r="D14" t="s">
        <v>611</v>
      </c>
    </row>
    <row r="15" spans="2:4" x14ac:dyDescent="0.3">
      <c r="D15" t="s">
        <v>610</v>
      </c>
    </row>
    <row r="16" spans="2:4" x14ac:dyDescent="0.3">
      <c r="D16" t="s">
        <v>720</v>
      </c>
    </row>
    <row r="17" spans="3:6" x14ac:dyDescent="0.3">
      <c r="D17" t="s">
        <v>772</v>
      </c>
    </row>
    <row r="19" spans="3:6" x14ac:dyDescent="0.3">
      <c r="C19" s="12" t="s">
        <v>1368</v>
      </c>
    </row>
    <row r="20" spans="3:6" x14ac:dyDescent="0.3">
      <c r="D20" t="s">
        <v>1369</v>
      </c>
    </row>
    <row r="21" spans="3:6" x14ac:dyDescent="0.3">
      <c r="F21" s="86" t="s">
        <v>1370</v>
      </c>
    </row>
  </sheetData>
  <hyperlinks>
    <hyperlink ref="F21" r:id="rId1" xr:uid="{81AC7051-8BEB-436A-995B-AE8E966F5A7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11B3-93D3-41CE-9B0D-062C2449806B}">
  <sheetPr>
    <tabColor rgb="FFFF0000"/>
  </sheetPr>
  <dimension ref="A2:I66"/>
  <sheetViews>
    <sheetView showGridLines="0" zoomScaleNormal="100" workbookViewId="0">
      <pane xSplit="4" ySplit="7" topLeftCell="E8" activePane="bottomRight" state="frozen"/>
      <selection pane="topRight" activeCell="E1" sqref="E1"/>
      <selection pane="bottomLeft" activeCell="A6" sqref="A6"/>
      <selection pane="bottomRight" activeCell="B3" sqref="B3"/>
    </sheetView>
  </sheetViews>
  <sheetFormatPr defaultColWidth="30.6640625" defaultRowHeight="14.4" x14ac:dyDescent="0.3"/>
  <cols>
    <col min="1" max="1" width="9.6640625" style="9" customWidth="1"/>
    <col min="2" max="2" width="58" customWidth="1"/>
    <col min="3" max="3" width="18" style="9" customWidth="1"/>
    <col min="4" max="4" width="19.109375" style="9" customWidth="1"/>
    <col min="5" max="5" width="28.21875" customWidth="1"/>
    <col min="6" max="6" width="24.33203125" customWidth="1"/>
    <col min="7" max="7" width="30.6640625" style="9"/>
    <col min="9" max="9" width="7.88671875" style="9" customWidth="1"/>
  </cols>
  <sheetData>
    <row r="2" spans="1:9" ht="31.2" x14ac:dyDescent="0.6">
      <c r="B2" s="26" t="s">
        <v>530</v>
      </c>
      <c r="C2" s="56"/>
    </row>
    <row r="3" spans="1:9" ht="31.2" x14ac:dyDescent="0.6">
      <c r="B3" s="26"/>
      <c r="C3" s="56"/>
    </row>
    <row r="4" spans="1:9" ht="31.2" x14ac:dyDescent="0.6">
      <c r="A4" s="36"/>
      <c r="B4" s="37"/>
      <c r="C4" s="37"/>
      <c r="D4" s="59"/>
      <c r="E4" s="37"/>
      <c r="F4" s="37"/>
      <c r="G4" s="37"/>
      <c r="H4" s="37"/>
      <c r="I4" s="59"/>
    </row>
    <row r="5" spans="1:9" x14ac:dyDescent="0.3">
      <c r="A5" s="39">
        <v>1</v>
      </c>
      <c r="B5" s="39">
        <v>2</v>
      </c>
      <c r="C5" s="39">
        <v>3</v>
      </c>
      <c r="D5" s="39">
        <v>4</v>
      </c>
      <c r="E5" s="39">
        <v>5</v>
      </c>
      <c r="F5" s="39">
        <v>6</v>
      </c>
      <c r="G5" s="39">
        <v>7</v>
      </c>
      <c r="H5" s="39">
        <v>8</v>
      </c>
      <c r="I5" s="39">
        <v>9</v>
      </c>
    </row>
    <row r="6" spans="1:9" ht="7.2" customHeight="1" x14ac:dyDescent="0.3">
      <c r="A6" s="39"/>
      <c r="B6" s="40"/>
      <c r="C6" s="40"/>
      <c r="D6" s="41"/>
      <c r="E6" s="58"/>
      <c r="F6" s="58"/>
      <c r="G6" s="40"/>
      <c r="H6" s="40"/>
      <c r="I6" s="39"/>
    </row>
    <row r="7" spans="1:9" ht="40.200000000000003" customHeight="1" x14ac:dyDescent="0.3">
      <c r="A7" s="6" t="s">
        <v>195</v>
      </c>
      <c r="B7" s="6" t="s">
        <v>113</v>
      </c>
      <c r="C7" s="6" t="s">
        <v>518</v>
      </c>
      <c r="D7" s="6" t="s">
        <v>45</v>
      </c>
      <c r="E7" s="6" t="s">
        <v>49</v>
      </c>
      <c r="F7" s="6" t="s">
        <v>42</v>
      </c>
      <c r="G7" s="6" t="s">
        <v>607</v>
      </c>
      <c r="H7" s="6" t="s">
        <v>15</v>
      </c>
      <c r="I7" s="6" t="s">
        <v>608</v>
      </c>
    </row>
    <row r="8" spans="1:9" x14ac:dyDescent="0.3">
      <c r="A8" s="5" t="s">
        <v>528</v>
      </c>
      <c r="B8" s="1" t="s">
        <v>114</v>
      </c>
      <c r="C8" s="5" t="s">
        <v>531</v>
      </c>
      <c r="D8" s="5" t="s">
        <v>33</v>
      </c>
      <c r="E8" s="5"/>
      <c r="F8" s="1" t="s">
        <v>115</v>
      </c>
      <c r="G8" s="5" t="s">
        <v>543</v>
      </c>
      <c r="H8" s="5" t="s">
        <v>526</v>
      </c>
      <c r="I8" s="5"/>
    </row>
    <row r="9" spans="1:9" x14ac:dyDescent="0.3">
      <c r="A9" s="5" t="s">
        <v>529</v>
      </c>
      <c r="B9" s="1" t="s">
        <v>302</v>
      </c>
      <c r="C9" s="5" t="s">
        <v>14</v>
      </c>
      <c r="D9" s="5" t="s">
        <v>33</v>
      </c>
      <c r="E9" s="5"/>
      <c r="F9" s="1" t="s">
        <v>16</v>
      </c>
      <c r="G9" s="5" t="s">
        <v>543</v>
      </c>
      <c r="H9" s="5" t="s">
        <v>526</v>
      </c>
      <c r="I9" s="5"/>
    </row>
    <row r="10" spans="1:9" x14ac:dyDescent="0.3">
      <c r="A10" s="5" t="s">
        <v>551</v>
      </c>
      <c r="B10" s="1" t="s">
        <v>116</v>
      </c>
      <c r="C10" s="5" t="s">
        <v>531</v>
      </c>
      <c r="D10" s="5" t="s">
        <v>33</v>
      </c>
      <c r="E10" s="5"/>
      <c r="F10" s="1" t="s">
        <v>117</v>
      </c>
      <c r="G10" s="5" t="s">
        <v>543</v>
      </c>
      <c r="H10" s="5" t="s">
        <v>526</v>
      </c>
      <c r="I10" s="5"/>
    </row>
    <row r="11" spans="1:9" x14ac:dyDescent="0.3">
      <c r="A11" s="5" t="s">
        <v>552</v>
      </c>
      <c r="B11" s="1" t="s">
        <v>21</v>
      </c>
      <c r="C11" s="5" t="s">
        <v>14</v>
      </c>
      <c r="D11" s="5" t="s">
        <v>33</v>
      </c>
      <c r="E11" s="5"/>
      <c r="F11" s="1" t="s">
        <v>118</v>
      </c>
      <c r="G11" s="5" t="s">
        <v>543</v>
      </c>
      <c r="H11" s="5" t="s">
        <v>526</v>
      </c>
      <c r="I11" s="5"/>
    </row>
    <row r="12" spans="1:9" x14ac:dyDescent="0.3">
      <c r="A12" s="5" t="s">
        <v>553</v>
      </c>
      <c r="B12" s="1" t="s">
        <v>544</v>
      </c>
      <c r="C12" s="5" t="s">
        <v>14</v>
      </c>
      <c r="D12" s="5" t="s">
        <v>46</v>
      </c>
      <c r="E12" s="5"/>
      <c r="F12" s="1" t="s">
        <v>22</v>
      </c>
      <c r="G12" s="5" t="s">
        <v>543</v>
      </c>
      <c r="H12" s="5" t="s">
        <v>13</v>
      </c>
      <c r="I12" s="5"/>
    </row>
    <row r="13" spans="1:9" x14ac:dyDescent="0.3">
      <c r="A13" s="5" t="s">
        <v>554</v>
      </c>
      <c r="B13" s="1" t="s">
        <v>17</v>
      </c>
      <c r="C13" s="5" t="s">
        <v>14</v>
      </c>
      <c r="D13" s="5" t="s">
        <v>33</v>
      </c>
      <c r="E13" s="5"/>
      <c r="F13" s="1" t="s">
        <v>18</v>
      </c>
      <c r="G13" s="5" t="s">
        <v>524</v>
      </c>
      <c r="H13" s="5" t="s">
        <v>526</v>
      </c>
      <c r="I13" s="5"/>
    </row>
    <row r="14" spans="1:9" x14ac:dyDescent="0.3">
      <c r="A14" s="5" t="s">
        <v>555</v>
      </c>
      <c r="B14" s="1" t="s">
        <v>119</v>
      </c>
      <c r="C14" s="5" t="s">
        <v>531</v>
      </c>
      <c r="D14" s="5" t="s">
        <v>33</v>
      </c>
      <c r="E14" s="5"/>
      <c r="F14" s="1" t="s">
        <v>120</v>
      </c>
      <c r="G14" s="5" t="s">
        <v>543</v>
      </c>
      <c r="H14" s="5" t="s">
        <v>526</v>
      </c>
      <c r="I14" s="5"/>
    </row>
    <row r="15" spans="1:9" x14ac:dyDescent="0.3">
      <c r="A15" s="5" t="s">
        <v>556</v>
      </c>
      <c r="B15" s="1" t="s">
        <v>539</v>
      </c>
      <c r="C15" s="5" t="s">
        <v>531</v>
      </c>
      <c r="D15" s="5" t="s">
        <v>33</v>
      </c>
      <c r="E15" s="5"/>
      <c r="F15" s="1" t="s">
        <v>20</v>
      </c>
      <c r="G15" s="5" t="s">
        <v>543</v>
      </c>
      <c r="H15" s="5" t="s">
        <v>526</v>
      </c>
      <c r="I15" s="5"/>
    </row>
    <row r="16" spans="1:9" x14ac:dyDescent="0.3">
      <c r="A16" s="5" t="s">
        <v>557</v>
      </c>
      <c r="B16" s="8" t="s">
        <v>178</v>
      </c>
      <c r="C16" s="5" t="s">
        <v>14</v>
      </c>
      <c r="D16" s="5" t="s">
        <v>46</v>
      </c>
      <c r="E16" s="5"/>
      <c r="F16" s="1" t="s">
        <v>20</v>
      </c>
      <c r="G16" s="5" t="s">
        <v>543</v>
      </c>
      <c r="H16" s="5" t="s">
        <v>13</v>
      </c>
      <c r="I16" s="5"/>
    </row>
    <row r="17" spans="1:9" x14ac:dyDescent="0.3">
      <c r="A17" s="5" t="s">
        <v>558</v>
      </c>
      <c r="B17" s="8" t="s">
        <v>112</v>
      </c>
      <c r="C17" s="5" t="s">
        <v>14</v>
      </c>
      <c r="D17" s="5" t="s">
        <v>33</v>
      </c>
      <c r="E17" s="5" t="s">
        <v>298</v>
      </c>
      <c r="F17" s="1" t="s">
        <v>28</v>
      </c>
      <c r="G17" s="5" t="s">
        <v>543</v>
      </c>
      <c r="H17" s="5" t="s">
        <v>526</v>
      </c>
      <c r="I17" s="5"/>
    </row>
    <row r="18" spans="1:9" x14ac:dyDescent="0.3">
      <c r="A18" s="5" t="s">
        <v>559</v>
      </c>
      <c r="B18" s="1" t="s">
        <v>121</v>
      </c>
      <c r="C18" s="5" t="s">
        <v>531</v>
      </c>
      <c r="D18" s="5" t="s">
        <v>33</v>
      </c>
      <c r="E18" s="5"/>
      <c r="F18" s="1" t="s">
        <v>122</v>
      </c>
      <c r="G18" s="5" t="s">
        <v>524</v>
      </c>
      <c r="H18" s="5" t="s">
        <v>526</v>
      </c>
      <c r="I18" s="5"/>
    </row>
    <row r="19" spans="1:9" x14ac:dyDescent="0.3">
      <c r="A19" s="5" t="s">
        <v>560</v>
      </c>
      <c r="B19" s="8" t="s">
        <v>233</v>
      </c>
      <c r="C19" s="5" t="s">
        <v>14</v>
      </c>
      <c r="D19" s="5" t="s">
        <v>46</v>
      </c>
      <c r="E19" s="5" t="s">
        <v>48</v>
      </c>
      <c r="F19" s="1" t="s">
        <v>123</v>
      </c>
      <c r="G19" s="5" t="s">
        <v>543</v>
      </c>
      <c r="H19" s="5" t="s">
        <v>526</v>
      </c>
      <c r="I19" s="5"/>
    </row>
    <row r="20" spans="1:9" x14ac:dyDescent="0.3">
      <c r="A20" s="5" t="s">
        <v>561</v>
      </c>
      <c r="B20" s="8" t="s">
        <v>25</v>
      </c>
      <c r="C20" s="5" t="s">
        <v>14</v>
      </c>
      <c r="D20" s="5" t="s">
        <v>33</v>
      </c>
      <c r="E20" s="5"/>
      <c r="F20" s="1" t="s">
        <v>124</v>
      </c>
      <c r="G20" s="5" t="s">
        <v>543</v>
      </c>
      <c r="H20" s="5" t="s">
        <v>526</v>
      </c>
      <c r="I20" s="5"/>
    </row>
    <row r="21" spans="1:9" x14ac:dyDescent="0.3">
      <c r="A21" s="5" t="s">
        <v>562</v>
      </c>
      <c r="B21" s="8" t="s">
        <v>23</v>
      </c>
      <c r="C21" s="5" t="s">
        <v>14</v>
      </c>
      <c r="D21" s="5" t="s">
        <v>33</v>
      </c>
      <c r="E21" s="5"/>
      <c r="F21" s="1" t="s">
        <v>24</v>
      </c>
      <c r="G21" s="5" t="s">
        <v>540</v>
      </c>
      <c r="H21" s="5" t="s">
        <v>526</v>
      </c>
      <c r="I21" s="5"/>
    </row>
    <row r="22" spans="1:9" x14ac:dyDescent="0.3">
      <c r="A22" s="5" t="s">
        <v>563</v>
      </c>
      <c r="B22" s="1" t="s">
        <v>125</v>
      </c>
      <c r="C22" s="5" t="s">
        <v>531</v>
      </c>
      <c r="D22" s="5" t="s">
        <v>33</v>
      </c>
      <c r="E22" s="5"/>
      <c r="F22" s="1" t="s">
        <v>124</v>
      </c>
      <c r="G22" s="5" t="s">
        <v>540</v>
      </c>
      <c r="H22" s="5" t="s">
        <v>526</v>
      </c>
      <c r="I22" s="5"/>
    </row>
    <row r="23" spans="1:9" x14ac:dyDescent="0.3">
      <c r="A23" s="5" t="s">
        <v>564</v>
      </c>
      <c r="B23" s="1" t="s">
        <v>126</v>
      </c>
      <c r="C23" s="5" t="s">
        <v>531</v>
      </c>
      <c r="D23" s="5" t="s">
        <v>40</v>
      </c>
      <c r="E23" s="5"/>
      <c r="F23" s="1" t="s">
        <v>127</v>
      </c>
      <c r="G23" s="5" t="s">
        <v>540</v>
      </c>
      <c r="H23" s="5" t="s">
        <v>526</v>
      </c>
      <c r="I23" s="5"/>
    </row>
    <row r="24" spans="1:9" x14ac:dyDescent="0.3">
      <c r="A24" s="5" t="s">
        <v>565</v>
      </c>
      <c r="B24" s="1" t="s">
        <v>128</v>
      </c>
      <c r="C24" s="5" t="s">
        <v>531</v>
      </c>
      <c r="D24" s="5" t="s">
        <v>40</v>
      </c>
      <c r="E24" s="5"/>
      <c r="F24" s="1" t="s">
        <v>129</v>
      </c>
      <c r="G24" s="5" t="s">
        <v>540</v>
      </c>
      <c r="H24" s="5" t="s">
        <v>526</v>
      </c>
      <c r="I24" s="5"/>
    </row>
    <row r="25" spans="1:9" x14ac:dyDescent="0.3">
      <c r="A25" s="5" t="s">
        <v>566</v>
      </c>
      <c r="B25" s="8" t="s">
        <v>26</v>
      </c>
      <c r="C25" s="5" t="s">
        <v>14</v>
      </c>
      <c r="D25" s="5" t="s">
        <v>33</v>
      </c>
      <c r="E25" s="5"/>
      <c r="F25" s="1" t="s">
        <v>27</v>
      </c>
      <c r="G25" s="5" t="s">
        <v>543</v>
      </c>
      <c r="H25" s="5" t="s">
        <v>526</v>
      </c>
      <c r="I25" s="5"/>
    </row>
    <row r="26" spans="1:9" x14ac:dyDescent="0.3">
      <c r="A26" s="5" t="s">
        <v>567</v>
      </c>
      <c r="B26" s="1" t="s">
        <v>130</v>
      </c>
      <c r="C26" s="5" t="s">
        <v>531</v>
      </c>
      <c r="D26" s="5" t="s">
        <v>33</v>
      </c>
      <c r="E26" s="5"/>
      <c r="F26" s="1" t="s">
        <v>131</v>
      </c>
      <c r="G26" s="5" t="s">
        <v>540</v>
      </c>
      <c r="H26" s="5" t="s">
        <v>526</v>
      </c>
      <c r="I26" s="5"/>
    </row>
    <row r="27" spans="1:9" x14ac:dyDescent="0.3">
      <c r="A27" s="5" t="s">
        <v>568</v>
      </c>
      <c r="B27" s="1" t="s">
        <v>132</v>
      </c>
      <c r="C27" s="5" t="s">
        <v>531</v>
      </c>
      <c r="D27" s="5" t="s">
        <v>33</v>
      </c>
      <c r="E27" s="5"/>
      <c r="F27" s="1" t="s">
        <v>133</v>
      </c>
      <c r="G27" s="5" t="s">
        <v>540</v>
      </c>
      <c r="H27" s="5" t="s">
        <v>526</v>
      </c>
      <c r="I27" s="5"/>
    </row>
    <row r="28" spans="1:9" x14ac:dyDescent="0.3">
      <c r="A28" s="5" t="s">
        <v>569</v>
      </c>
      <c r="B28" s="1" t="s">
        <v>134</v>
      </c>
      <c r="C28" s="5" t="s">
        <v>14</v>
      </c>
      <c r="D28" s="5" t="s">
        <v>40</v>
      </c>
      <c r="E28" s="5"/>
      <c r="F28" s="1" t="s">
        <v>135</v>
      </c>
      <c r="G28" s="5" t="s">
        <v>543</v>
      </c>
      <c r="H28" s="5" t="s">
        <v>526</v>
      </c>
      <c r="I28" s="5"/>
    </row>
    <row r="29" spans="1:9" ht="28.8" x14ac:dyDescent="0.3">
      <c r="A29" s="5" t="s">
        <v>570</v>
      </c>
      <c r="B29" s="1" t="s">
        <v>136</v>
      </c>
      <c r="C29" s="5" t="s">
        <v>14</v>
      </c>
      <c r="D29" s="5" t="s">
        <v>33</v>
      </c>
      <c r="E29" s="5"/>
      <c r="F29" s="1" t="s">
        <v>34</v>
      </c>
      <c r="G29" s="5" t="s">
        <v>540</v>
      </c>
      <c r="H29" s="5" t="s">
        <v>526</v>
      </c>
      <c r="I29" s="5"/>
    </row>
    <row r="30" spans="1:9" ht="28.8" x14ac:dyDescent="0.3">
      <c r="A30" s="5" t="s">
        <v>571</v>
      </c>
      <c r="B30" s="1" t="s">
        <v>137</v>
      </c>
      <c r="C30" s="5" t="s">
        <v>14</v>
      </c>
      <c r="D30" s="5" t="s">
        <v>46</v>
      </c>
      <c r="E30" s="5"/>
      <c r="F30" s="1" t="s">
        <v>138</v>
      </c>
      <c r="G30" s="5" t="s">
        <v>540</v>
      </c>
      <c r="H30" s="5" t="s">
        <v>526</v>
      </c>
      <c r="I30" s="5"/>
    </row>
    <row r="31" spans="1:9" ht="28.8" x14ac:dyDescent="0.3">
      <c r="A31" s="5" t="s">
        <v>572</v>
      </c>
      <c r="B31" s="1" t="s">
        <v>139</v>
      </c>
      <c r="C31" s="5" t="s">
        <v>531</v>
      </c>
      <c r="D31" s="5" t="s">
        <v>33</v>
      </c>
      <c r="E31" s="5"/>
      <c r="F31" s="1" t="s">
        <v>140</v>
      </c>
      <c r="G31" s="5" t="s">
        <v>541</v>
      </c>
      <c r="H31" s="5" t="s">
        <v>526</v>
      </c>
      <c r="I31" s="5"/>
    </row>
    <row r="32" spans="1:9" ht="28.8" x14ac:dyDescent="0.3">
      <c r="A32" s="5" t="s">
        <v>573</v>
      </c>
      <c r="B32" s="1" t="s">
        <v>141</v>
      </c>
      <c r="C32" s="5" t="s">
        <v>532</v>
      </c>
      <c r="D32" s="5" t="s">
        <v>33</v>
      </c>
      <c r="E32" s="5"/>
      <c r="F32" s="1" t="s">
        <v>142</v>
      </c>
      <c r="G32" s="5" t="s">
        <v>541</v>
      </c>
      <c r="H32" s="5" t="s">
        <v>526</v>
      </c>
      <c r="I32" s="5"/>
    </row>
    <row r="33" spans="1:9" ht="28.8" x14ac:dyDescent="0.3">
      <c r="A33" s="5" t="s">
        <v>574</v>
      </c>
      <c r="B33" s="8" t="s">
        <v>37</v>
      </c>
      <c r="C33" s="5" t="s">
        <v>14</v>
      </c>
      <c r="D33" s="5" t="s">
        <v>40</v>
      </c>
      <c r="E33" s="5"/>
      <c r="F33" s="1" t="s">
        <v>143</v>
      </c>
      <c r="G33" s="5" t="s">
        <v>543</v>
      </c>
      <c r="H33" s="5" t="s">
        <v>526</v>
      </c>
      <c r="I33" s="5"/>
    </row>
    <row r="34" spans="1:9" x14ac:dyDescent="0.3">
      <c r="A34" s="5" t="s">
        <v>575</v>
      </c>
      <c r="B34" s="1" t="s">
        <v>144</v>
      </c>
      <c r="C34" s="5" t="s">
        <v>531</v>
      </c>
      <c r="D34" s="5" t="s">
        <v>33</v>
      </c>
      <c r="E34" s="5"/>
      <c r="F34" s="1" t="s">
        <v>145</v>
      </c>
      <c r="G34" s="5" t="s">
        <v>540</v>
      </c>
      <c r="H34" s="5" t="s">
        <v>526</v>
      </c>
      <c r="I34" s="5"/>
    </row>
    <row r="35" spans="1:9" x14ac:dyDescent="0.3">
      <c r="A35" s="5" t="s">
        <v>576</v>
      </c>
      <c r="B35" s="1" t="s">
        <v>146</v>
      </c>
      <c r="C35" s="5" t="s">
        <v>532</v>
      </c>
      <c r="D35" s="5" t="s">
        <v>33</v>
      </c>
      <c r="E35" s="5"/>
      <c r="F35" s="1" t="s">
        <v>147</v>
      </c>
      <c r="G35" s="5" t="s">
        <v>521</v>
      </c>
      <c r="H35" s="5" t="s">
        <v>526</v>
      </c>
      <c r="I35" s="5"/>
    </row>
    <row r="36" spans="1:9" x14ac:dyDescent="0.3">
      <c r="A36" s="5" t="s">
        <v>577</v>
      </c>
      <c r="B36" s="1" t="s">
        <v>148</v>
      </c>
      <c r="C36" s="5" t="s">
        <v>532</v>
      </c>
      <c r="D36" s="5" t="s">
        <v>33</v>
      </c>
      <c r="E36" s="5"/>
      <c r="F36" s="1" t="s">
        <v>147</v>
      </c>
      <c r="G36" s="5" t="s">
        <v>522</v>
      </c>
      <c r="H36" s="5" t="s">
        <v>526</v>
      </c>
      <c r="I36" s="5"/>
    </row>
    <row r="37" spans="1:9" x14ac:dyDescent="0.3">
      <c r="A37" s="5" t="s">
        <v>578</v>
      </c>
      <c r="B37" s="1" t="s">
        <v>149</v>
      </c>
      <c r="C37" s="5" t="s">
        <v>532</v>
      </c>
      <c r="D37" s="5" t="s">
        <v>40</v>
      </c>
      <c r="E37" s="5"/>
      <c r="F37" s="1" t="s">
        <v>150</v>
      </c>
      <c r="G37" s="5" t="s">
        <v>522</v>
      </c>
      <c r="H37" s="5" t="s">
        <v>526</v>
      </c>
      <c r="I37" s="5"/>
    </row>
    <row r="38" spans="1:9" x14ac:dyDescent="0.3">
      <c r="A38" s="5" t="s">
        <v>579</v>
      </c>
      <c r="B38" s="1" t="s">
        <v>151</v>
      </c>
      <c r="C38" s="5" t="s">
        <v>532</v>
      </c>
      <c r="D38" s="5" t="s">
        <v>40</v>
      </c>
      <c r="E38" s="5"/>
      <c r="F38" s="1" t="s">
        <v>147</v>
      </c>
      <c r="G38" s="5" t="s">
        <v>524</v>
      </c>
      <c r="H38" s="5" t="s">
        <v>526</v>
      </c>
      <c r="I38" s="5"/>
    </row>
    <row r="39" spans="1:9" x14ac:dyDescent="0.3">
      <c r="A39" s="5" t="s">
        <v>580</v>
      </c>
      <c r="B39" s="1" t="s">
        <v>152</v>
      </c>
      <c r="C39" s="5" t="s">
        <v>532</v>
      </c>
      <c r="D39" s="5" t="s">
        <v>40</v>
      </c>
      <c r="E39" s="5"/>
      <c r="F39" s="1" t="s">
        <v>147</v>
      </c>
      <c r="G39" s="5" t="s">
        <v>522</v>
      </c>
      <c r="H39" s="5" t="s">
        <v>526</v>
      </c>
      <c r="I39" s="5"/>
    </row>
    <row r="40" spans="1:9" x14ac:dyDescent="0.3">
      <c r="A40" s="5" t="s">
        <v>581</v>
      </c>
      <c r="B40" s="1" t="s">
        <v>153</v>
      </c>
      <c r="C40" s="5" t="s">
        <v>531</v>
      </c>
      <c r="D40" s="5" t="s">
        <v>33</v>
      </c>
      <c r="E40" s="5"/>
      <c r="F40" s="1" t="s">
        <v>147</v>
      </c>
      <c r="G40" s="5" t="s">
        <v>521</v>
      </c>
      <c r="H40" s="5" t="s">
        <v>526</v>
      </c>
      <c r="I40" s="5"/>
    </row>
    <row r="41" spans="1:9" x14ac:dyDescent="0.3">
      <c r="A41" s="5" t="s">
        <v>582</v>
      </c>
      <c r="B41" s="1" t="s">
        <v>154</v>
      </c>
      <c r="C41" s="5" t="s">
        <v>532</v>
      </c>
      <c r="D41" s="5" t="s">
        <v>33</v>
      </c>
      <c r="E41" s="5"/>
      <c r="F41" s="1" t="s">
        <v>147</v>
      </c>
      <c r="G41" s="5" t="s">
        <v>521</v>
      </c>
      <c r="H41" s="5" t="s">
        <v>526</v>
      </c>
      <c r="I41" s="5"/>
    </row>
    <row r="42" spans="1:9" x14ac:dyDescent="0.3">
      <c r="A42" s="5" t="s">
        <v>583</v>
      </c>
      <c r="B42" s="1" t="s">
        <v>155</v>
      </c>
      <c r="C42" s="5" t="s">
        <v>531</v>
      </c>
      <c r="D42" s="5" t="s">
        <v>33</v>
      </c>
      <c r="E42" s="5"/>
      <c r="F42" s="1" t="s">
        <v>156</v>
      </c>
      <c r="G42" s="5" t="s">
        <v>521</v>
      </c>
      <c r="H42" s="5" t="s">
        <v>526</v>
      </c>
      <c r="I42" s="5"/>
    </row>
    <row r="43" spans="1:9" x14ac:dyDescent="0.3">
      <c r="A43" s="5" t="s">
        <v>584</v>
      </c>
      <c r="B43" s="1" t="s">
        <v>157</v>
      </c>
      <c r="C43" s="5" t="s">
        <v>531</v>
      </c>
      <c r="D43" s="5" t="s">
        <v>33</v>
      </c>
      <c r="E43" s="5"/>
      <c r="F43" s="1" t="s">
        <v>147</v>
      </c>
      <c r="G43" s="5" t="s">
        <v>543</v>
      </c>
      <c r="H43" s="5" t="s">
        <v>526</v>
      </c>
      <c r="I43" s="5"/>
    </row>
    <row r="44" spans="1:9" x14ac:dyDescent="0.3">
      <c r="A44" s="5" t="s">
        <v>585</v>
      </c>
      <c r="B44" s="1" t="s">
        <v>158</v>
      </c>
      <c r="C44" s="5" t="s">
        <v>532</v>
      </c>
      <c r="D44" s="5" t="s">
        <v>40</v>
      </c>
      <c r="E44" s="5"/>
      <c r="F44" s="1" t="s">
        <v>159</v>
      </c>
      <c r="G44" s="5" t="s">
        <v>521</v>
      </c>
      <c r="H44" s="5" t="s">
        <v>526</v>
      </c>
      <c r="I44" s="5"/>
    </row>
    <row r="45" spans="1:9" x14ac:dyDescent="0.3">
      <c r="A45" s="5" t="s">
        <v>586</v>
      </c>
      <c r="B45" s="1" t="s">
        <v>160</v>
      </c>
      <c r="C45" s="5" t="s">
        <v>531</v>
      </c>
      <c r="D45" s="5" t="s">
        <v>33</v>
      </c>
      <c r="E45" s="5"/>
      <c r="F45" s="1" t="s">
        <v>161</v>
      </c>
      <c r="G45" s="5" t="s">
        <v>522</v>
      </c>
      <c r="H45" s="5" t="s">
        <v>526</v>
      </c>
      <c r="I45" s="5"/>
    </row>
    <row r="46" spans="1:9" x14ac:dyDescent="0.3">
      <c r="A46" s="5" t="s">
        <v>587</v>
      </c>
      <c r="B46" s="1" t="s">
        <v>162</v>
      </c>
      <c r="C46" s="5" t="s">
        <v>531</v>
      </c>
      <c r="D46" s="5" t="s">
        <v>33</v>
      </c>
      <c r="E46" s="5"/>
      <c r="F46" s="1" t="s">
        <v>161</v>
      </c>
      <c r="G46" s="5" t="s">
        <v>524</v>
      </c>
      <c r="H46" s="5" t="s">
        <v>526</v>
      </c>
      <c r="I46" s="5"/>
    </row>
    <row r="47" spans="1:9" x14ac:dyDescent="0.3">
      <c r="A47" s="5" t="s">
        <v>588</v>
      </c>
      <c r="B47" s="8" t="s">
        <v>299</v>
      </c>
      <c r="C47" s="5" t="s">
        <v>14</v>
      </c>
      <c r="D47" s="5" t="s">
        <v>46</v>
      </c>
      <c r="E47" s="5"/>
      <c r="F47" s="1" t="s">
        <v>29</v>
      </c>
      <c r="G47" s="5" t="s">
        <v>543</v>
      </c>
      <c r="H47" s="5" t="s">
        <v>526</v>
      </c>
      <c r="I47" s="5"/>
    </row>
    <row r="48" spans="1:9" x14ac:dyDescent="0.3">
      <c r="A48" s="5" t="s">
        <v>589</v>
      </c>
      <c r="B48" s="1" t="s">
        <v>164</v>
      </c>
      <c r="C48" s="5" t="s">
        <v>531</v>
      </c>
      <c r="D48" s="5" t="s">
        <v>46</v>
      </c>
      <c r="E48" s="5"/>
      <c r="F48" s="1" t="s">
        <v>147</v>
      </c>
      <c r="G48" s="5" t="s">
        <v>540</v>
      </c>
      <c r="H48" s="5" t="s">
        <v>526</v>
      </c>
      <c r="I48" s="5"/>
    </row>
    <row r="49" spans="1:9" x14ac:dyDescent="0.3">
      <c r="A49" s="5" t="s">
        <v>590</v>
      </c>
      <c r="B49" s="1" t="s">
        <v>165</v>
      </c>
      <c r="C49" s="5" t="s">
        <v>531</v>
      </c>
      <c r="D49" s="5" t="s">
        <v>46</v>
      </c>
      <c r="E49" s="5"/>
      <c r="F49" s="1" t="s">
        <v>163</v>
      </c>
      <c r="G49" s="5" t="s">
        <v>543</v>
      </c>
      <c r="H49" s="5" t="s">
        <v>526</v>
      </c>
      <c r="I49" s="5"/>
    </row>
    <row r="50" spans="1:9" x14ac:dyDescent="0.3">
      <c r="A50" s="5" t="s">
        <v>591</v>
      </c>
      <c r="B50" s="1" t="s">
        <v>166</v>
      </c>
      <c r="C50" s="5" t="s">
        <v>532</v>
      </c>
      <c r="D50" s="5" t="s">
        <v>41</v>
      </c>
      <c r="E50" s="5"/>
      <c r="F50" s="1" t="s">
        <v>167</v>
      </c>
      <c r="G50" s="5" t="s">
        <v>543</v>
      </c>
      <c r="H50" s="5" t="s">
        <v>526</v>
      </c>
      <c r="I50" s="5"/>
    </row>
    <row r="51" spans="1:9" x14ac:dyDescent="0.3">
      <c r="A51" s="5" t="s">
        <v>592</v>
      </c>
      <c r="B51" s="1" t="s">
        <v>168</v>
      </c>
      <c r="C51" s="5" t="s">
        <v>531</v>
      </c>
      <c r="D51" s="5" t="s">
        <v>46</v>
      </c>
      <c r="E51" s="5" t="s">
        <v>519</v>
      </c>
      <c r="F51" s="1" t="s">
        <v>169</v>
      </c>
      <c r="G51" s="5" t="s">
        <v>543</v>
      </c>
      <c r="H51" s="5" t="s">
        <v>526</v>
      </c>
      <c r="I51" s="5"/>
    </row>
    <row r="52" spans="1:9" x14ac:dyDescent="0.3">
      <c r="A52" s="5" t="s">
        <v>593</v>
      </c>
      <c r="B52" s="1" t="s">
        <v>170</v>
      </c>
      <c r="C52" s="5" t="s">
        <v>532</v>
      </c>
      <c r="D52" s="5" t="s">
        <v>33</v>
      </c>
      <c r="E52" s="5"/>
      <c r="F52" s="1" t="s">
        <v>171</v>
      </c>
      <c r="G52" s="5" t="s">
        <v>541</v>
      </c>
      <c r="H52" s="5" t="s">
        <v>526</v>
      </c>
      <c r="I52" s="5"/>
    </row>
    <row r="53" spans="1:9" x14ac:dyDescent="0.3">
      <c r="A53" s="5" t="s">
        <v>594</v>
      </c>
      <c r="B53" s="1" t="s">
        <v>172</v>
      </c>
      <c r="C53" s="5" t="s">
        <v>532</v>
      </c>
      <c r="D53" s="5" t="s">
        <v>33</v>
      </c>
      <c r="E53" s="5"/>
      <c r="F53" s="1" t="s">
        <v>173</v>
      </c>
      <c r="G53" s="5" t="s">
        <v>524</v>
      </c>
      <c r="H53" s="5" t="s">
        <v>526</v>
      </c>
      <c r="I53" s="5"/>
    </row>
    <row r="54" spans="1:9" x14ac:dyDescent="0.3">
      <c r="A54" s="5" t="s">
        <v>595</v>
      </c>
      <c r="B54" s="1" t="s">
        <v>174</v>
      </c>
      <c r="C54" s="5" t="s">
        <v>532</v>
      </c>
      <c r="D54" s="5" t="s">
        <v>33</v>
      </c>
      <c r="E54" s="5"/>
      <c r="F54" s="1" t="s">
        <v>175</v>
      </c>
      <c r="G54" s="5" t="s">
        <v>541</v>
      </c>
      <c r="H54" s="5" t="s">
        <v>526</v>
      </c>
      <c r="I54" s="5"/>
    </row>
    <row r="55" spans="1:9" x14ac:dyDescent="0.3">
      <c r="A55" s="5" t="s">
        <v>596</v>
      </c>
      <c r="B55" s="1" t="s">
        <v>176</v>
      </c>
      <c r="C55" s="5" t="s">
        <v>531</v>
      </c>
      <c r="D55" s="5" t="s">
        <v>40</v>
      </c>
      <c r="E55" s="5"/>
      <c r="F55" s="1" t="s">
        <v>177</v>
      </c>
      <c r="G55" s="5" t="s">
        <v>524</v>
      </c>
      <c r="H55" s="5" t="s">
        <v>526</v>
      </c>
      <c r="I55" s="5"/>
    </row>
    <row r="56" spans="1:9" x14ac:dyDescent="0.3">
      <c r="A56" s="5" t="s">
        <v>597</v>
      </c>
      <c r="B56" s="1" t="s">
        <v>545</v>
      </c>
      <c r="C56" s="5" t="s">
        <v>14</v>
      </c>
      <c r="D56" s="5" t="s">
        <v>40</v>
      </c>
      <c r="E56" s="5"/>
      <c r="F56" s="1"/>
      <c r="G56" s="5" t="s">
        <v>543</v>
      </c>
      <c r="H56" s="5" t="s">
        <v>526</v>
      </c>
      <c r="I56" s="5"/>
    </row>
    <row r="57" spans="1:9" x14ac:dyDescent="0.3">
      <c r="A57" s="5" t="s">
        <v>598</v>
      </c>
      <c r="B57" s="1" t="s">
        <v>546</v>
      </c>
      <c r="C57" s="5" t="s">
        <v>14</v>
      </c>
      <c r="D57" s="5" t="s">
        <v>41</v>
      </c>
      <c r="E57" s="5"/>
      <c r="F57" s="1"/>
      <c r="G57" s="5" t="s">
        <v>543</v>
      </c>
      <c r="H57" s="5" t="s">
        <v>526</v>
      </c>
      <c r="I57" s="5"/>
    </row>
    <row r="58" spans="1:9" x14ac:dyDescent="0.3">
      <c r="A58" s="5" t="s">
        <v>599</v>
      </c>
      <c r="B58" s="1" t="s">
        <v>300</v>
      </c>
      <c r="C58" s="5" t="s">
        <v>14</v>
      </c>
      <c r="D58" s="5" t="s">
        <v>46</v>
      </c>
      <c r="E58" s="5" t="s">
        <v>547</v>
      </c>
      <c r="F58" s="8" t="s">
        <v>31</v>
      </c>
      <c r="G58" s="5" t="s">
        <v>543</v>
      </c>
      <c r="H58" s="5" t="s">
        <v>526</v>
      </c>
      <c r="I58" s="5"/>
    </row>
    <row r="59" spans="1:9" x14ac:dyDescent="0.3">
      <c r="A59" s="5" t="s">
        <v>600</v>
      </c>
      <c r="B59" s="1" t="s">
        <v>301</v>
      </c>
      <c r="C59" s="5" t="s">
        <v>14</v>
      </c>
      <c r="D59" s="5" t="s">
        <v>40</v>
      </c>
      <c r="E59" s="5"/>
      <c r="F59" s="8" t="s">
        <v>31</v>
      </c>
      <c r="G59" s="5" t="s">
        <v>543</v>
      </c>
      <c r="H59" s="5" t="s">
        <v>526</v>
      </c>
      <c r="I59" s="5"/>
    </row>
    <row r="60" spans="1:9" ht="43.2" x14ac:dyDescent="0.3">
      <c r="A60" s="5" t="s">
        <v>601</v>
      </c>
      <c r="B60" s="1" t="s">
        <v>30</v>
      </c>
      <c r="C60" s="5" t="s">
        <v>14</v>
      </c>
      <c r="D60" s="5" t="s">
        <v>46</v>
      </c>
      <c r="E60" s="5" t="s">
        <v>548</v>
      </c>
      <c r="F60" s="8" t="s">
        <v>31</v>
      </c>
      <c r="G60" s="5" t="s">
        <v>540</v>
      </c>
      <c r="H60" s="5" t="s">
        <v>526</v>
      </c>
      <c r="I60" s="5"/>
    </row>
    <row r="61" spans="1:9" ht="28.8" x14ac:dyDescent="0.3">
      <c r="A61" s="5" t="s">
        <v>602</v>
      </c>
      <c r="B61" s="1" t="s">
        <v>35</v>
      </c>
      <c r="C61" s="5" t="s">
        <v>14</v>
      </c>
      <c r="D61" s="5" t="s">
        <v>40</v>
      </c>
      <c r="E61" s="5"/>
      <c r="F61" s="8" t="s">
        <v>36</v>
      </c>
      <c r="G61" s="5" t="s">
        <v>543</v>
      </c>
      <c r="H61" s="5" t="s">
        <v>526</v>
      </c>
      <c r="I61" s="5"/>
    </row>
    <row r="62" spans="1:9" x14ac:dyDescent="0.3">
      <c r="A62" s="5" t="s">
        <v>603</v>
      </c>
      <c r="B62" s="1" t="s">
        <v>38</v>
      </c>
      <c r="C62" s="5" t="s">
        <v>14</v>
      </c>
      <c r="D62" s="5" t="s">
        <v>40</v>
      </c>
      <c r="E62" s="5"/>
      <c r="F62" s="8" t="s">
        <v>39</v>
      </c>
      <c r="G62" s="5" t="s">
        <v>543</v>
      </c>
      <c r="H62" s="5" t="s">
        <v>526</v>
      </c>
      <c r="I62" s="5"/>
    </row>
    <row r="63" spans="1:9" x14ac:dyDescent="0.3">
      <c r="A63" s="5" t="s">
        <v>604</v>
      </c>
      <c r="B63" s="1" t="s">
        <v>55</v>
      </c>
      <c r="C63" s="5" t="s">
        <v>14</v>
      </c>
      <c r="D63" s="5" t="s">
        <v>374</v>
      </c>
      <c r="E63" s="5"/>
      <c r="F63" s="1"/>
      <c r="G63" s="5" t="s">
        <v>543</v>
      </c>
      <c r="H63" s="5" t="s">
        <v>526</v>
      </c>
      <c r="I63" s="5"/>
    </row>
    <row r="64" spans="1:9" x14ac:dyDescent="0.3">
      <c r="A64" s="5" t="s">
        <v>605</v>
      </c>
      <c r="B64" s="1" t="s">
        <v>111</v>
      </c>
      <c r="C64" s="5" t="s">
        <v>14</v>
      </c>
      <c r="D64" s="5" t="s">
        <v>374</v>
      </c>
      <c r="E64" s="5"/>
      <c r="F64" s="1"/>
      <c r="G64" s="5" t="s">
        <v>543</v>
      </c>
      <c r="H64" s="5" t="s">
        <v>526</v>
      </c>
      <c r="I64" s="5"/>
    </row>
    <row r="65" spans="1:9" x14ac:dyDescent="0.3">
      <c r="A65" s="5" t="s">
        <v>606</v>
      </c>
      <c r="B65" s="1" t="s">
        <v>192</v>
      </c>
      <c r="C65" s="5" t="s">
        <v>14</v>
      </c>
      <c r="D65" s="5" t="s">
        <v>40</v>
      </c>
      <c r="E65" s="5"/>
      <c r="F65" s="1"/>
      <c r="G65" s="5" t="s">
        <v>543</v>
      </c>
      <c r="H65" s="5" t="s">
        <v>526</v>
      </c>
      <c r="I65" s="5"/>
    </row>
    <row r="66" spans="1:9" x14ac:dyDescent="0.3">
      <c r="A66" s="5" t="s">
        <v>620</v>
      </c>
      <c r="B66" s="1" t="s">
        <v>613</v>
      </c>
      <c r="C66" s="5" t="s">
        <v>14</v>
      </c>
      <c r="D66" s="5" t="s">
        <v>40</v>
      </c>
      <c r="E66" s="5"/>
      <c r="F66" s="1"/>
      <c r="G66" s="5" t="s">
        <v>543</v>
      </c>
      <c r="H66" s="5" t="s">
        <v>526</v>
      </c>
      <c r="I66" s="5"/>
    </row>
  </sheetData>
  <phoneticPr fontId="4" type="noConversion"/>
  <conditionalFormatting sqref="I7:I66">
    <cfRule type="cellIs" dxfId="3" priority="1" operator="equal">
      <formula>_xlfn.UNICHAR(10006)</formula>
    </cfRule>
    <cfRule type="cellIs" dxfId="2" priority="4" operator="equal">
      <formula>_xlfn.UNICHAR(10004)</formula>
    </cfRule>
  </conditionalFormatting>
  <dataValidations count="5">
    <dataValidation type="list" allowBlank="1" showInputMessage="1" showErrorMessage="1" sqref="D8:D66" xr:uid="{4A8FDD70-CB58-494E-AF0F-77CE6917CEEC}">
      <formula1>rng\Document.Class</formula1>
    </dataValidation>
    <dataValidation type="list" allowBlank="1" showInputMessage="1" showErrorMessage="1" sqref="G8:G66" xr:uid="{4D9DAC88-8EDC-423B-B48C-794F0C78D87E}">
      <formula1>rng\Schedule</formula1>
    </dataValidation>
    <dataValidation type="list" allowBlank="1" showInputMessage="1" showErrorMessage="1" sqref="H8:H66" xr:uid="{43D2B7F7-1A7B-4016-A410-5B6186F8AADF}">
      <formula1>rng\Schedule.Status</formula1>
    </dataValidation>
    <dataValidation type="list" allowBlank="1" showInputMessage="1" showErrorMessage="1" sqref="C8:C66" xr:uid="{8D9B050C-F818-4718-80F8-F08BB06F32C3}">
      <formula1>rng\Compliance.Type</formula1>
    </dataValidation>
    <dataValidation type="list" allowBlank="1" showInputMessage="1" showErrorMessage="1" sqref="I8:I66" xr:uid="{E9F92572-BD4D-49CB-99B2-329ED8DBC380}">
      <formula1>rng\Symbol.OkNo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7CDD-4ABC-4C3F-9566-E5F325E06DF6}">
  <sheetPr>
    <tabColor rgb="FFFF0000"/>
  </sheetPr>
  <dimension ref="A2:H32"/>
  <sheetViews>
    <sheetView showGridLines="0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G33" sqref="G33"/>
    </sheetView>
  </sheetViews>
  <sheetFormatPr defaultRowHeight="14.4" x14ac:dyDescent="0.3"/>
  <cols>
    <col min="1" max="1" width="8.88671875" style="9"/>
    <col min="2" max="2" width="44.44140625" style="2" customWidth="1"/>
    <col min="3" max="3" width="19.21875" style="9" customWidth="1"/>
    <col min="4" max="4" width="14.44140625" style="9" customWidth="1"/>
    <col min="5" max="5" width="9.109375" style="9" customWidth="1"/>
    <col min="6" max="6" width="10.109375" bestFit="1" customWidth="1"/>
    <col min="7" max="7" width="85.5546875" customWidth="1"/>
    <col min="8" max="8" width="37.77734375" hidden="1" customWidth="1"/>
  </cols>
  <sheetData>
    <row r="2" spans="1:8" ht="31.2" x14ac:dyDescent="0.6">
      <c r="B2" s="26" t="s">
        <v>538</v>
      </c>
    </row>
    <row r="3" spans="1:8" ht="16.8" customHeight="1" x14ac:dyDescent="0.6">
      <c r="B3" s="26"/>
    </row>
    <row r="4" spans="1:8" ht="25.8" customHeight="1" x14ac:dyDescent="0.6">
      <c r="A4" s="36"/>
      <c r="B4" s="37"/>
      <c r="C4" s="36"/>
      <c r="D4" s="36"/>
      <c r="E4" s="36"/>
      <c r="F4" s="38"/>
      <c r="G4" s="38"/>
      <c r="H4" s="54" t="s">
        <v>492</v>
      </c>
    </row>
    <row r="5" spans="1:8" ht="19.8" customHeight="1" x14ac:dyDescent="0.3">
      <c r="A5" s="39">
        <v>1</v>
      </c>
      <c r="B5" s="39">
        <v>2</v>
      </c>
      <c r="C5" s="39">
        <v>3</v>
      </c>
      <c r="D5" s="39">
        <v>4</v>
      </c>
      <c r="E5" s="39">
        <v>5</v>
      </c>
      <c r="F5" s="39">
        <v>6</v>
      </c>
      <c r="G5" s="39">
        <v>7</v>
      </c>
      <c r="H5" s="39">
        <v>11</v>
      </c>
    </row>
    <row r="6" spans="1:8" ht="7.8" customHeight="1" x14ac:dyDescent="0.3">
      <c r="A6" s="39"/>
      <c r="B6" s="40"/>
      <c r="C6" s="39"/>
      <c r="D6" s="41"/>
      <c r="E6" s="64"/>
      <c r="F6" s="63"/>
      <c r="G6" s="3"/>
      <c r="H6" s="3"/>
    </row>
    <row r="7" spans="1:8" ht="33" customHeight="1" x14ac:dyDescent="0.3">
      <c r="A7" s="6" t="s">
        <v>195</v>
      </c>
      <c r="B7" s="7" t="s">
        <v>14</v>
      </c>
      <c r="C7" s="6" t="s">
        <v>518</v>
      </c>
      <c r="D7" s="6" t="s">
        <v>54</v>
      </c>
      <c r="E7" s="6" t="s">
        <v>43</v>
      </c>
      <c r="F7" s="7" t="s">
        <v>44</v>
      </c>
      <c r="G7" s="7" t="s">
        <v>47</v>
      </c>
      <c r="H7" s="55" t="s">
        <v>362</v>
      </c>
    </row>
    <row r="8" spans="1:8" ht="43.2" x14ac:dyDescent="0.3">
      <c r="A8" s="5" t="s">
        <v>307</v>
      </c>
      <c r="B8" s="8" t="s">
        <v>302</v>
      </c>
      <c r="C8" s="5" t="s">
        <v>616</v>
      </c>
      <c r="D8" s="15" t="s">
        <v>52</v>
      </c>
      <c r="E8" s="65" t="str" cm="1">
        <f t="array" ref="E8">IFERROR(INDEX(
    tab\LOG[Wersja],
    MATCH(
        _xlfn.AGGREGATE(14,6,tab\LOG[Data]/(tab\LOG[Dokument]=tab\DOCS[[#This Row],[Dokument]]),1),
        tab\LOG[Data],
        0
    )
),"-")</f>
        <v>1.0</v>
      </c>
      <c r="F8" s="66" cm="1">
        <f t="array" ref="F8">IFERROR(INDEX(
   tab\LOG[Data],
    MATCH(
        _xlfn.AGGREGATE(14,6,tab\LOG[Data]/(tab\LOG[Dokument]=tab\DOCS[[#This Row],[Dokument]]),1),
        tab\LOG[Data],
        0
    )
),"-")</f>
        <v>46023</v>
      </c>
      <c r="G8" s="8" t="s">
        <v>1356</v>
      </c>
      <c r="H8" s="30" t="str" cm="1">
        <f t="array" ref="H8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Rejestr czynności przetwarzania</v>
      </c>
    </row>
    <row r="9" spans="1:8" ht="28.8" x14ac:dyDescent="0.3">
      <c r="A9" s="5" t="s">
        <v>308</v>
      </c>
      <c r="B9" s="8" t="s">
        <v>17</v>
      </c>
      <c r="C9" s="5" t="s">
        <v>615</v>
      </c>
      <c r="D9" s="15" t="s">
        <v>52</v>
      </c>
      <c r="E9" s="65" t="str" cm="1">
        <f t="array" ref="E9">IFERROR(INDEX(
    tab\LOG[Wersja],
    MATCH(
        _xlfn.AGGREGATE(14,6,tab\LOG[Data]/(tab\LOG[Dokument]=tab\DOCS[[#This Row],[Dokument]]),1),
        tab\LOG[Data],
        0
    )
),"-")</f>
        <v>-</v>
      </c>
      <c r="F9" s="66" t="str" cm="1">
        <f t="array" ref="F9">IFERROR(INDEX(
   tab\LOG[Data],
    MATCH(
        _xlfn.AGGREGATE(14,6,tab\LOG[Data]/(tab\LOG[Dokument]=tab\DOCS[[#This Row],[Dokument]]),1),
        tab\LOG[Data],
        0
    )
),"-")</f>
        <v>-</v>
      </c>
      <c r="G9" s="8" t="s">
        <v>1336</v>
      </c>
      <c r="H9" s="30" t="str" cm="1">
        <f t="array" ref="H9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Analiza ryzyka ochrony danych</v>
      </c>
    </row>
    <row r="10" spans="1:8" ht="28.8" x14ac:dyDescent="0.3">
      <c r="A10" s="5" t="s">
        <v>309</v>
      </c>
      <c r="B10" s="8" t="s">
        <v>1335</v>
      </c>
      <c r="C10" s="5" t="s">
        <v>615</v>
      </c>
      <c r="D10" s="15" t="s">
        <v>52</v>
      </c>
      <c r="E10" s="65" t="str" cm="1">
        <f t="array" ref="E10">IFERROR(INDEX(
    tab\LOG[Wersja],
    MATCH(
        _xlfn.AGGREGATE(14,6,tab\LOG[Data]/(tab\LOG[Dokument]=tab\DOCS[[#This Row],[Dokument]]),1),
        tab\LOG[Data],
        0
    )
),"-")</f>
        <v>-</v>
      </c>
      <c r="F10" s="66" t="str" cm="1">
        <f t="array" ref="F10">IFERROR(INDEX(
   tab\LOG[Data],
    MATCH(
        _xlfn.AGGREGATE(14,6,tab\LOG[Data]/(tab\LOG[Dokument]=tab\DOCS[[#This Row],[Dokument]]),1),
        tab\LOG[Data],
        0
    )
),"-")</f>
        <v>-</v>
      </c>
      <c r="G10" s="8" t="s">
        <v>1337</v>
      </c>
      <c r="H10" s="30" t="str" cm="1">
        <f t="array" ref="H10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Kwalifikacja do DPIA</v>
      </c>
    </row>
    <row r="11" spans="1:8" ht="28.8" x14ac:dyDescent="0.3">
      <c r="A11" s="5" t="s">
        <v>310</v>
      </c>
      <c r="B11" s="8" t="s">
        <v>1359</v>
      </c>
      <c r="C11" s="5" t="s">
        <v>615</v>
      </c>
      <c r="D11" s="15" t="s">
        <v>52</v>
      </c>
      <c r="E11" s="65" t="str" cm="1">
        <f t="array" ref="E11">IFERROR(INDEX(
    tab\LOG[Wersja],
    MATCH(
        _xlfn.AGGREGATE(14,6,tab\LOG[Data]/(tab\LOG[Dokument]=tab\DOCS[[#This Row],[Dokument]]),1),
        tab\LOG[Data],
        0
    )
),"-")</f>
        <v>-</v>
      </c>
      <c r="F11" s="66" t="str" cm="1">
        <f t="array" ref="F11">IFERROR(INDEX(
   tab\LOG[Data],
    MATCH(
        _xlfn.AGGREGATE(14,6,tab\LOG[Data]/(tab\LOG[Dokument]=tab\DOCS[[#This Row],[Dokument]]),1),
        tab\LOG[Data],
        0
    )
),"-")</f>
        <v>-</v>
      </c>
      <c r="G11" s="8" t="s">
        <v>1338</v>
      </c>
      <c r="H11" s="30" t="str" cm="1">
        <f t="array" ref="H11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Ocena skutków dla ochrony danych (DPIA)</v>
      </c>
    </row>
    <row r="12" spans="1:8" ht="28.8" x14ac:dyDescent="0.3">
      <c r="A12" s="5" t="s">
        <v>311</v>
      </c>
      <c r="B12" s="8" t="s">
        <v>21</v>
      </c>
      <c r="C12" s="5" t="s">
        <v>614</v>
      </c>
      <c r="D12" s="15" t="s">
        <v>53</v>
      </c>
      <c r="E12" s="65" t="str" cm="1">
        <f t="array" ref="E12">IFERROR(INDEX(
    tab\LOG[Wersja],
    MATCH(
        _xlfn.AGGREGATE(14,6,tab\LOG[Data]/(tab\LOG[Dokument]=tab\DOCS[[#This Row],[Dokument]]),1),
        tab\LOG[Data],
        0
    )
),"-")</f>
        <v>-</v>
      </c>
      <c r="F12" s="66" t="str" cm="1">
        <f t="array" ref="F12">IFERROR(INDEX(
   tab\LOG[Data],
    MATCH(
        _xlfn.AGGREGATE(14,6,tab\LOG[Data]/(tab\LOG[Dokument]=tab\DOCS[[#This Row],[Dokument]]),1),
        tab\LOG[Data],
        0
    )
),"-")</f>
        <v>-</v>
      </c>
      <c r="G12" s="8" t="s">
        <v>1339</v>
      </c>
      <c r="H12" s="30" t="str" cm="1">
        <f t="array" ref="H12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Rejestr naruszeń ochrony danych</v>
      </c>
    </row>
    <row r="13" spans="1:8" ht="28.8" x14ac:dyDescent="0.3">
      <c r="A13" s="5" t="s">
        <v>312</v>
      </c>
      <c r="B13" s="8" t="s">
        <v>23</v>
      </c>
      <c r="C13" s="5" t="s">
        <v>615</v>
      </c>
      <c r="D13" s="15" t="s">
        <v>52</v>
      </c>
      <c r="E13" s="65" t="str" cm="1">
        <f t="array" ref="E13">IFERROR(INDEX(
    tab\LOG[Wersja],
    MATCH(
        _xlfn.AGGREGATE(14,6,tab\LOG[Data]/(tab\LOG[Dokument]=tab\DOCS[[#This Row],[Dokument]]),1),
        tab\LOG[Data],
        0
    )
),"-")</f>
        <v>-</v>
      </c>
      <c r="F13" s="66" t="str" cm="1">
        <f t="array" ref="F13">IFERROR(INDEX(
   tab\LOG[Data],
    MATCH(
        _xlfn.AGGREGATE(14,6,tab\LOG[Data]/(tab\LOG[Dokument]=tab\DOCS[[#This Row],[Dokument]]),1),
        tab\LOG[Data],
        0
    )
),"-")</f>
        <v>-</v>
      </c>
      <c r="G13" s="8" t="s">
        <v>1340</v>
      </c>
      <c r="H13" s="30" t="str" cm="1">
        <f t="array" ref="H13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Rejestr procesorów przetwarzania danych</v>
      </c>
    </row>
    <row r="14" spans="1:8" ht="28.8" x14ac:dyDescent="0.3">
      <c r="A14" s="5" t="s">
        <v>313</v>
      </c>
      <c r="B14" s="8" t="s">
        <v>25</v>
      </c>
      <c r="C14" s="5" t="s">
        <v>614</v>
      </c>
      <c r="D14" s="15" t="s">
        <v>53</v>
      </c>
      <c r="E14" s="65" t="str" cm="1">
        <f t="array" ref="E14">IFERROR(INDEX(
    tab\LOG[Wersja],
    MATCH(
        _xlfn.AGGREGATE(14,6,tab\LOG[Data]/(tab\LOG[Dokument]=tab\DOCS[[#This Row],[Dokument]]),1),
        tab\LOG[Data],
        0
    )
),"-")</f>
        <v>-</v>
      </c>
      <c r="F14" s="66" t="str" cm="1">
        <f t="array" ref="F14">IFERROR(INDEX(
   tab\LOG[Data],
    MATCH(
        _xlfn.AGGREGATE(14,6,tab\LOG[Data]/(tab\LOG[Dokument]=tab\DOCS[[#This Row],[Dokument]]),1),
        tab\LOG[Data],
        0
    )
),"-")</f>
        <v>-</v>
      </c>
      <c r="G14" s="8" t="s">
        <v>1341</v>
      </c>
      <c r="H14" s="30" t="str" cm="1">
        <f t="array" ref="H14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Rejestr osób upoważnionych</v>
      </c>
    </row>
    <row r="15" spans="1:8" ht="28.8" x14ac:dyDescent="0.3">
      <c r="A15" s="5" t="s">
        <v>314</v>
      </c>
      <c r="B15" s="8" t="s">
        <v>26</v>
      </c>
      <c r="C15" s="5" t="s">
        <v>614</v>
      </c>
      <c r="D15" s="15" t="s">
        <v>53</v>
      </c>
      <c r="E15" s="65" t="str" cm="1">
        <f t="array" ref="E15">IFERROR(INDEX(
    tab\LOG[Wersja],
    MATCH(
        _xlfn.AGGREGATE(14,6,tab\LOG[Data]/(tab\LOG[Dokument]=tab\DOCS[[#This Row],[Dokument]]),1),
        tab\LOG[Data],
        0
    )
),"-")</f>
        <v>-</v>
      </c>
      <c r="F15" s="66" t="str" cm="1">
        <f t="array" ref="F15">IFERROR(INDEX(
   tab\LOG[Data],
    MATCH(
        _xlfn.AGGREGATE(14,6,tab\LOG[Data]/(tab\LOG[Dokument]=tab\DOCS[[#This Row],[Dokument]]),1),
        tab\LOG[Data],
        0
    )
),"-")</f>
        <v>-</v>
      </c>
      <c r="G15" s="8" t="s">
        <v>1342</v>
      </c>
      <c r="H15" s="30" t="str" cm="1">
        <f t="array" ref="H15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Rejestr współadministratorów</v>
      </c>
    </row>
    <row r="16" spans="1:8" ht="28.8" x14ac:dyDescent="0.3">
      <c r="A16" s="5" t="s">
        <v>315</v>
      </c>
      <c r="B16" s="8" t="s">
        <v>233</v>
      </c>
      <c r="C16" s="5" t="s">
        <v>615</v>
      </c>
      <c r="D16" s="15" t="s">
        <v>52</v>
      </c>
      <c r="E16" s="65" t="str" cm="1">
        <f t="array" ref="E16">IFERROR(INDEX(
    tab\LOG[Wersja],
    MATCH(
        _xlfn.AGGREGATE(14,6,tab\LOG[Data]/(tab\LOG[Dokument]=tab\DOCS[[#This Row],[Dokument]]),1),
        tab\LOG[Data],
        0
    )
),"-")</f>
        <v>-</v>
      </c>
      <c r="F16" s="66" t="str" cm="1">
        <f t="array" ref="F16">IFERROR(INDEX(
   tab\LOG[Data],
    MATCH(
        _xlfn.AGGREGATE(14,6,tab\LOG[Data]/(tab\LOG[Dokument]=tab\DOCS[[#This Row],[Dokument]]),1),
        tab\LOG[Data],
        0
    )
),"-")</f>
        <v>-</v>
      </c>
      <c r="G16" s="8" t="s">
        <v>1343</v>
      </c>
      <c r="H16" s="30" t="str" cm="1">
        <f t="array" ref="H16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Rejestr systemów przetwarzania danych</v>
      </c>
    </row>
    <row r="17" spans="1:8" ht="28.8" x14ac:dyDescent="0.3">
      <c r="A17" s="5" t="s">
        <v>316</v>
      </c>
      <c r="B17" s="8" t="s">
        <v>299</v>
      </c>
      <c r="C17" s="5" t="s">
        <v>615</v>
      </c>
      <c r="D17" s="15" t="s">
        <v>52</v>
      </c>
      <c r="E17" s="65" t="str" cm="1">
        <f t="array" ref="E17">IFERROR(INDEX(
    tab\LOG[Wersja],
    MATCH(
        _xlfn.AGGREGATE(14,6,tab\LOG[Data]/(tab\LOG[Dokument]=tab\DOCS[[#This Row],[Dokument]]),1),
        tab\LOG[Data],
        0
    )
),"-")</f>
        <v>2.0</v>
      </c>
      <c r="F17" s="66" cm="1">
        <f t="array" ref="F17">IFERROR(INDEX(
   tab\LOG[Data],
    MATCH(
        _xlfn.AGGREGATE(14,6,tab\LOG[Data]/(tab\LOG[Dokument]=tab\DOCS[[#This Row],[Dokument]]),1),
        tab\LOG[Data],
        0
    )
),"-")</f>
        <v>46055</v>
      </c>
      <c r="G17" s="8" t="s">
        <v>1358</v>
      </c>
      <c r="H17" s="30" t="str" cm="1">
        <f t="array" ref="H17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Wykaz udostępnionej dokumentacji medycznej</v>
      </c>
    </row>
    <row r="18" spans="1:8" ht="28.8" x14ac:dyDescent="0.3">
      <c r="A18" s="5" t="s">
        <v>317</v>
      </c>
      <c r="B18" s="8" t="s">
        <v>300</v>
      </c>
      <c r="C18" s="5" t="s">
        <v>615</v>
      </c>
      <c r="D18" s="15" t="s">
        <v>52</v>
      </c>
      <c r="E18" s="65" t="str" cm="1">
        <f t="array" ref="E18">IFERROR(INDEX(
    tab\LOG[Wersja],
    MATCH(
        _xlfn.AGGREGATE(14,6,tab\LOG[Data]/(tab\LOG[Dokument]=tab\DOCS[[#This Row],[Dokument]]),1),
        tab\LOG[Data],
        0
    )
),"-")</f>
        <v>-</v>
      </c>
      <c r="F18" s="66" t="str" cm="1">
        <f t="array" ref="F18">IFERROR(INDEX(
   tab\LOG[Data],
    MATCH(
        _xlfn.AGGREGATE(14,6,tab\LOG[Data]/(tab\LOG[Dokument]=tab\DOCS[[#This Row],[Dokument]]),1),
        tab\LOG[Data],
        0
    )
),"-")</f>
        <v>-</v>
      </c>
      <c r="G18" s="8" t="s">
        <v>1344</v>
      </c>
      <c r="H18" s="30" t="str" cm="1">
        <f t="array" ref="H18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>Informacje kontaktowe</v>
      </c>
    </row>
    <row r="19" spans="1:8" ht="43.2" x14ac:dyDescent="0.3">
      <c r="A19" s="5" t="s">
        <v>318</v>
      </c>
      <c r="B19" s="8" t="s">
        <v>301</v>
      </c>
      <c r="C19" s="5" t="s">
        <v>615</v>
      </c>
      <c r="D19" s="15" t="s">
        <v>52</v>
      </c>
      <c r="E19" s="65" t="str" cm="1">
        <f t="array" ref="E19">IFERROR(INDEX(
    tab\LOG[Wersja],
    MATCH(
        _xlfn.AGGREGATE(14,6,tab\LOG[Data]/(tab\LOG[Dokument]=tab\DOCS[[#This Row],[Dokument]]),1),
        tab\LOG[Data],
        0
    )
),"-")</f>
        <v>-</v>
      </c>
      <c r="F19" s="66" t="str" cm="1">
        <f t="array" ref="F19">IFERROR(INDEX(
   tab\LOG[Data],
    MATCH(
        _xlfn.AGGREGATE(14,6,tab\LOG[Data]/(tab\LOG[Dokument]=tab\DOCS[[#This Row],[Dokument]]),1),
        tab\LOG[Data],
        0
    )
),"-")</f>
        <v>-</v>
      </c>
      <c r="G19" s="8" t="s">
        <v>1345</v>
      </c>
      <c r="H19" s="30" t="str" cm="1">
        <f t="array" ref="H19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20" spans="1:8" ht="43.2" x14ac:dyDescent="0.3">
      <c r="A20" s="5" t="s">
        <v>319</v>
      </c>
      <c r="B20" s="8" t="s">
        <v>32</v>
      </c>
      <c r="C20" s="5" t="s">
        <v>615</v>
      </c>
      <c r="D20" s="15" t="s">
        <v>52</v>
      </c>
      <c r="E20" s="65" t="str" cm="1">
        <f t="array" ref="E20">IFERROR(INDEX(
    tab\LOG[Wersja],
    MATCH(
        _xlfn.AGGREGATE(14,6,tab\LOG[Data]/(tab\LOG[Dokument]=tab\DOCS[[#This Row],[Dokument]]),1),
        tab\LOG[Data],
        0
    )
),"-")</f>
        <v>-</v>
      </c>
      <c r="F20" s="66" t="str" cm="1">
        <f t="array" ref="F20">IFERROR(INDEX(
   tab\LOG[Data],
    MATCH(
        _xlfn.AGGREGATE(14,6,tab\LOG[Data]/(tab\LOG[Dokument]=tab\DOCS[[#This Row],[Dokument]]),1),
        tab\LOG[Data],
        0
    )
),"-")</f>
        <v>-</v>
      </c>
      <c r="G20" s="8" t="s">
        <v>1346</v>
      </c>
      <c r="H20" s="30" t="str" cm="1">
        <f t="array" ref="H20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21" spans="1:8" ht="43.2" x14ac:dyDescent="0.3">
      <c r="A21" s="5" t="s">
        <v>320</v>
      </c>
      <c r="B21" s="8" t="s">
        <v>1361</v>
      </c>
      <c r="C21" s="5" t="s">
        <v>614</v>
      </c>
      <c r="D21" s="15" t="s">
        <v>53</v>
      </c>
      <c r="E21" s="65" t="str" cm="1">
        <f t="array" ref="E21">IFERROR(INDEX(
    tab\LOG[Wersja],
    MATCH(
        _xlfn.AGGREGATE(14,6,tab\LOG[Data]/(tab\LOG[Dokument]=tab\DOCS[[#This Row],[Dokument]]),1),
        tab\LOG[Data],
        0
    )
),"-")</f>
        <v>-</v>
      </c>
      <c r="F21" s="66" t="str" cm="1">
        <f t="array" ref="F21">IFERROR(INDEX(
   tab\LOG[Data],
    MATCH(
        _xlfn.AGGREGATE(14,6,tab\LOG[Data]/(tab\LOG[Dokument]=tab\DOCS[[#This Row],[Dokument]]),1),
        tab\LOG[Data],
        0
    )
),"-")</f>
        <v>-</v>
      </c>
      <c r="G21" s="8" t="s">
        <v>1347</v>
      </c>
      <c r="H21" s="30" t="str" cm="1">
        <f t="array" ref="H21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22" spans="1:8" ht="43.2" x14ac:dyDescent="0.3">
      <c r="A22" s="5" t="s">
        <v>321</v>
      </c>
      <c r="B22" s="8" t="s">
        <v>1362</v>
      </c>
      <c r="C22" s="5" t="s">
        <v>614</v>
      </c>
      <c r="D22" s="15" t="s">
        <v>53</v>
      </c>
      <c r="E22" s="65" t="str" cm="1">
        <f t="array" ref="E22">IFERROR(INDEX(
    tab\LOG[Wersja],
    MATCH(
        _xlfn.AGGREGATE(14,6,tab\LOG[Data]/(tab\LOG[Dokument]=tab\DOCS[[#This Row],[Dokument]]),1),
        tab\LOG[Data],
        0
    )
),"-")</f>
        <v>-</v>
      </c>
      <c r="F22" s="66" t="str" cm="1">
        <f t="array" ref="F22">IFERROR(INDEX(
   tab\LOG[Data],
    MATCH(
        _xlfn.AGGREGATE(14,6,tab\LOG[Data]/(tab\LOG[Dokument]=tab\DOCS[[#This Row],[Dokument]]),1),
        tab\LOG[Data],
        0
    )
),"-")</f>
        <v>-</v>
      </c>
      <c r="G22" s="8" t="s">
        <v>1348</v>
      </c>
      <c r="H22" s="30" t="str" cm="1">
        <f t="array" ref="H22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23" spans="1:8" ht="43.2" x14ac:dyDescent="0.3">
      <c r="A23" s="5" t="s">
        <v>322</v>
      </c>
      <c r="B23" s="8" t="s">
        <v>1363</v>
      </c>
      <c r="C23" s="5" t="s">
        <v>614</v>
      </c>
      <c r="D23" s="15" t="s">
        <v>53</v>
      </c>
      <c r="E23" s="65" t="str" cm="1">
        <f t="array" ref="E23">IFERROR(INDEX(
    tab\LOG[Wersja],
    MATCH(
        _xlfn.AGGREGATE(14,6,tab\LOG[Data]/(tab\LOG[Dokument]=tab\DOCS[[#This Row],[Dokument]]),1),
        tab\LOG[Data],
        0
    )
),"-")</f>
        <v>-</v>
      </c>
      <c r="F23" s="66" t="str" cm="1">
        <f t="array" ref="F23">IFERROR(INDEX(
   tab\LOG[Data],
    MATCH(
        _xlfn.AGGREGATE(14,6,tab\LOG[Data]/(tab\LOG[Dokument]=tab\DOCS[[#This Row],[Dokument]]),1),
        tab\LOG[Data],
        0
    )
),"-")</f>
        <v>-</v>
      </c>
      <c r="G23" s="8" t="s">
        <v>1349</v>
      </c>
      <c r="H23" s="30" t="str" cm="1">
        <f t="array" ref="H23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24" spans="1:8" ht="28.8" x14ac:dyDescent="0.3">
      <c r="A24" s="5" t="s">
        <v>323</v>
      </c>
      <c r="B24" s="8" t="s">
        <v>55</v>
      </c>
      <c r="C24" s="5" t="s">
        <v>614</v>
      </c>
      <c r="D24" s="15" t="s">
        <v>53</v>
      </c>
      <c r="E24" s="65" t="str" cm="1">
        <f t="array" ref="E24">IFERROR(INDEX(
    tab\LOG[Wersja],
    MATCH(
        _xlfn.AGGREGATE(14,6,tab\LOG[Data]/(tab\LOG[Dokument]=tab\DOCS[[#This Row],[Dokument]]),1),
        tab\LOG[Data],
        0
    )
),"-")</f>
        <v>-</v>
      </c>
      <c r="F24" s="66" t="str" cm="1">
        <f t="array" ref="F24">IFERROR(INDEX(
   tab\LOG[Data],
    MATCH(
        _xlfn.AGGREGATE(14,6,tab\LOG[Data]/(tab\LOG[Dokument]=tab\DOCS[[#This Row],[Dokument]]),1),
        tab\LOG[Data],
        0
    )
),"-")</f>
        <v>-</v>
      </c>
      <c r="G24" s="8" t="s">
        <v>1350</v>
      </c>
      <c r="H24" s="30" t="str" cm="1">
        <f t="array" ref="H24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25" spans="1:8" ht="43.2" x14ac:dyDescent="0.3">
      <c r="A25" s="5" t="s">
        <v>324</v>
      </c>
      <c r="B25" s="8" t="s">
        <v>111</v>
      </c>
      <c r="C25" s="5" t="s">
        <v>615</v>
      </c>
      <c r="D25" s="15" t="s">
        <v>53</v>
      </c>
      <c r="E25" s="65" t="str" cm="1">
        <f t="array" ref="E25">IFERROR(INDEX(
    tab\LOG[Wersja],
    MATCH(
        _xlfn.AGGREGATE(14,6,tab\LOG[Data]/(tab\LOG[Dokument]=tab\DOCS[[#This Row],[Dokument]]),1),
        tab\LOG[Data],
        0
    )
),"-")</f>
        <v>-</v>
      </c>
      <c r="F25" s="66" t="str" cm="1">
        <f t="array" ref="F25">IFERROR(INDEX(
   tab\LOG[Data],
    MATCH(
        _xlfn.AGGREGATE(14,6,tab\LOG[Data]/(tab\LOG[Dokument]=tab\DOCS[[#This Row],[Dokument]]),1),
        tab\LOG[Data],
        0
    )
),"-")</f>
        <v>-</v>
      </c>
      <c r="G25" s="8" t="s">
        <v>1351</v>
      </c>
      <c r="H25" s="30" t="str" cm="1">
        <f t="array" ref="H25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26" spans="1:8" ht="43.2" x14ac:dyDescent="0.3">
      <c r="A26" s="5" t="s">
        <v>325</v>
      </c>
      <c r="B26" s="8" t="s">
        <v>192</v>
      </c>
      <c r="C26" s="5" t="s">
        <v>615</v>
      </c>
      <c r="D26" s="60" t="s">
        <v>52</v>
      </c>
      <c r="E26" s="65" t="str" cm="1">
        <f t="array" ref="E26">IFERROR(INDEX(
    tab\LOG[Wersja],
    MATCH(
        _xlfn.AGGREGATE(14,6,tab\LOG[Data]/(tab\LOG[Dokument]=tab\DOCS[[#This Row],[Dokument]]),1),
        tab\LOG[Data],
        0
    )
),"-")</f>
        <v>-</v>
      </c>
      <c r="F26" s="66" t="str" cm="1">
        <f t="array" ref="F26">IFERROR(INDEX(
   tab\LOG[Data],
    MATCH(
        _xlfn.AGGREGATE(14,6,tab\LOG[Data]/(tab\LOG[Dokument]=tab\DOCS[[#This Row],[Dokument]]),1),
        tab\LOG[Data],
        0
    )
),"-")</f>
        <v>-</v>
      </c>
      <c r="G26" s="8" t="s">
        <v>1352</v>
      </c>
      <c r="H26" s="30" t="str" cm="1">
        <f t="array" ref="H26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27" spans="1:8" ht="43.2" x14ac:dyDescent="0.3">
      <c r="A27" s="5" t="s">
        <v>326</v>
      </c>
      <c r="B27" s="8" t="s">
        <v>134</v>
      </c>
      <c r="C27" s="5" t="s">
        <v>614</v>
      </c>
      <c r="D27" s="15" t="s">
        <v>53</v>
      </c>
      <c r="E27" s="65" t="str" cm="1">
        <f t="array" ref="E27">IFERROR(INDEX(
    tab\LOG[Wersja],
    MATCH(
        _xlfn.AGGREGATE(14,6,tab\LOG[Data]/(tab\LOG[Dokument]=tab\DOCS[[#This Row],[Dokument]]),1),
        tab\LOG[Data],
        0
    )
),"-")</f>
        <v>-</v>
      </c>
      <c r="F27" s="66" t="str" cm="1">
        <f t="array" ref="F27">IFERROR(INDEX(
   tab\LOG[Data],
    MATCH(
        _xlfn.AGGREGATE(14,6,tab\LOG[Data]/(tab\LOG[Dokument]=tab\DOCS[[#This Row],[Dokument]]),1),
        tab\LOG[Data],
        0
    )
),"-")</f>
        <v>-</v>
      </c>
      <c r="G27" s="8" t="s">
        <v>1353</v>
      </c>
      <c r="H27" s="30" t="str" cm="1">
        <f t="array" ref="H27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28" spans="1:8" ht="43.2" x14ac:dyDescent="0.3">
      <c r="A28" s="5" t="s">
        <v>327</v>
      </c>
      <c r="B28" s="8" t="s">
        <v>1364</v>
      </c>
      <c r="C28" s="5" t="s">
        <v>618</v>
      </c>
      <c r="D28" s="15" t="s">
        <v>53</v>
      </c>
      <c r="E28" s="65" t="str" cm="1">
        <f t="array" ref="E28">IFERROR(INDEX(
    tab\LOG[Wersja],
    MATCH(
        _xlfn.AGGREGATE(14,6,tab\LOG[Data]/(tab\LOG[Dokument]=tab\DOCS[[#This Row],[Dokument]]),1),
        tab\LOG[Data],
        0
    )
),"-")</f>
        <v>-</v>
      </c>
      <c r="F28" s="66" t="str" cm="1">
        <f t="array" ref="F28">IFERROR(INDEX(
   tab\LOG[Data],
    MATCH(
        _xlfn.AGGREGATE(14,6,tab\LOG[Data]/(tab\LOG[Dokument]=tab\DOCS[[#This Row],[Dokument]]),1),
        tab\LOG[Data],
        0
    )
),"-")</f>
        <v>-</v>
      </c>
      <c r="G28" s="8" t="s">
        <v>1354</v>
      </c>
      <c r="H28" s="30" t="str" cm="1">
        <f t="array" ref="H28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29" spans="1:8" ht="43.2" x14ac:dyDescent="0.3">
      <c r="A29" s="5" t="s">
        <v>549</v>
      </c>
      <c r="B29" s="8" t="s">
        <v>613</v>
      </c>
      <c r="C29" s="5" t="s">
        <v>618</v>
      </c>
      <c r="D29" s="15" t="s">
        <v>53</v>
      </c>
      <c r="E29" s="67" t="str" cm="1">
        <f t="array" ref="E29">IFERROR(INDEX(
    tab\LOG[Wersja],
    MATCH(
        _xlfn.AGGREGATE(14,6,tab\LOG[Data]/(tab\LOG[Dokument]=tab\DOCS[[#This Row],[Dokument]]),1),
        tab\LOG[Data],
        0
    )
),"-")</f>
        <v>-</v>
      </c>
      <c r="F29" s="67" t="str" cm="1">
        <f t="array" ref="F29">IFERROR(INDEX(
   tab\LOG[Data],
    MATCH(
        _xlfn.AGGREGATE(14,6,tab\LOG[Data]/(tab\LOG[Dokument]=tab\DOCS[[#This Row],[Dokument]]),1),
        tab\LOG[Data],
        0
    )
),"-")</f>
        <v>-</v>
      </c>
      <c r="G29" s="8" t="s">
        <v>1355</v>
      </c>
      <c r="H29" s="30" t="str" cm="1">
        <f t="array" ref="H29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30" spans="1:8" ht="43.2" x14ac:dyDescent="0.3">
      <c r="A30" s="5" t="s">
        <v>550</v>
      </c>
      <c r="B30" s="8" t="s">
        <v>1360</v>
      </c>
      <c r="C30" s="5" t="s">
        <v>618</v>
      </c>
      <c r="D30" s="15" t="s">
        <v>53</v>
      </c>
      <c r="E30" s="67" t="str" cm="1">
        <f t="array" ref="E30">IFERROR(INDEX(
    tab\LOG[Wersja],
    MATCH(
        _xlfn.AGGREGATE(14,6,tab\LOG[Data]/(tab\LOG[Dokument]=tab\DOCS[[#This Row],[Dokument]]),1),
        tab\LOG[Data],
        0
    )
),"-")</f>
        <v>-</v>
      </c>
      <c r="F30" s="67" t="str" cm="1">
        <f t="array" ref="F30">IFERROR(INDEX(
   tab\LOG[Data],
    MATCH(
        _xlfn.AGGREGATE(14,6,tab\LOG[Data]/(tab\LOG[Dokument]=tab\DOCS[[#This Row],[Dokument]]),1),
        tab\LOG[Data],
        0
    )
),"-")</f>
        <v>-</v>
      </c>
      <c r="G30" s="8" t="s">
        <v>1357</v>
      </c>
      <c r="H30" s="30" t="str" cm="1">
        <f t="array" ref="H30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31" spans="1:8" x14ac:dyDescent="0.3">
      <c r="A31" s="87" t="s">
        <v>1372</v>
      </c>
      <c r="B31" s="88" t="s">
        <v>1371</v>
      </c>
      <c r="C31" s="5" t="s">
        <v>618</v>
      </c>
      <c r="D31" s="15" t="s">
        <v>53</v>
      </c>
      <c r="E31" s="89" t="str" cm="1">
        <f t="array" ref="E31">IFERROR(INDEX(
    tab\LOG[Wersja],
    MATCH(
        _xlfn.AGGREGATE(14,6,tab\LOG[Data]/(tab\LOG[Dokument]=tab\DOCS[[#This Row],[Dokument]]),1),
        tab\LOG[Data],
        0
    )
),"-")</f>
        <v>-</v>
      </c>
      <c r="F31" s="67" t="str" cm="1">
        <f t="array" ref="F31">IFERROR(INDEX(
   tab\LOG[Data],
    MATCH(
        _xlfn.AGGREGATE(14,6,tab\LOG[Data]/(tab\LOG[Dokument]=tab\DOCS[[#This Row],[Dokument]]),1),
        tab\LOG[Data],
        0
    )
),"-")</f>
        <v>-</v>
      </c>
      <c r="G31" s="88" t="s">
        <v>1373</v>
      </c>
      <c r="H31" s="90" t="str" cm="1">
        <f t="array" ref="H31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  <row r="32" spans="1:8" ht="28.8" x14ac:dyDescent="0.3">
      <c r="A32" s="87" t="s">
        <v>1375</v>
      </c>
      <c r="B32" s="88" t="s">
        <v>1374</v>
      </c>
      <c r="C32" s="5" t="s">
        <v>614</v>
      </c>
      <c r="D32" s="15" t="s">
        <v>53</v>
      </c>
      <c r="E32" s="89" t="str" cm="1">
        <f t="array" ref="E32">IFERROR(INDEX(
    tab\LOG[Wersja],
    MATCH(
        _xlfn.AGGREGATE(14,6,tab\LOG[Data]/(tab\LOG[Dokument]=tab\DOCS[[#This Row],[Dokument]]),1),
        tab\LOG[Data],
        0
    )
),"-")</f>
        <v>-</v>
      </c>
      <c r="F32" s="67" t="str" cm="1">
        <f t="array" ref="F32">IFERROR(INDEX(
   tab\LOG[Data],
    MATCH(
        _xlfn.AGGREGATE(14,6,tab\LOG[Data]/(tab\LOG[Dokument]=tab\DOCS[[#This Row],[Dokument]]),1),
        tab\LOG[Data],
        0
    )
),"-")</f>
        <v>-</v>
      </c>
      <c r="G32" s="88" t="s">
        <v>1376</v>
      </c>
      <c r="H32" s="90" t="str" cm="1">
        <f t="array" ref="H32">IFERROR(
    INDEX(
        tab\DOCS[Dokument],
        _xlfn.AGGREGATE(
            15,
            6,
            (ROW(tab\DOCS[Dokument])-ROW(INDEX(tab\DOCS[Dokument],1))+1)/(tab\DOCS[Lokalizacja]="wewnętrzny"),
            ROW()-ROW(tab\DOCS[#Headers])
        )
    ),
    ""
)</f>
        <v/>
      </c>
    </row>
  </sheetData>
  <phoneticPr fontId="4" type="noConversion"/>
  <dataValidations count="2">
    <dataValidation type="list" allowBlank="1" showInputMessage="1" showErrorMessage="1" sqref="D8:D32" xr:uid="{0712DFC8-FD74-40B3-96F0-F8378558375F}">
      <formula1>rng\Document.Location</formula1>
    </dataValidation>
    <dataValidation type="list" allowBlank="1" showInputMessage="1" showErrorMessage="1" sqref="C8:C32" xr:uid="{12D5797F-8FB5-480D-9577-EC2156ADEEB9}">
      <formula1>rng\Document.Type</formula1>
    </dataValidation>
  </dataValidations>
  <hyperlinks>
    <hyperlink ref="D16" location="Procesorzy!A1" display="wewnętrzny" xr:uid="{4B2EC97F-1185-49DE-907B-3533F7512A1E}"/>
    <hyperlink ref="D8" location="'RCP'!A1" display="wewnętrzny" xr:uid="{9E4DDAFD-8A1E-4562-A1A4-4E435F94A8B2}"/>
    <hyperlink ref="D17" location="Upoważnienia!A1" display="wewnętrzny" xr:uid="{0E4F34BF-2CE0-4D24-9DE3-218B53B4F4CD}"/>
    <hyperlink ref="D18" location="Współadministratorzy!A1" display="wewnętrzny" xr:uid="{FFCD214C-4D5A-4F18-A72E-041581B2CDFB}"/>
    <hyperlink ref="D12" r:id="rId1" xr:uid="{CF9E9380-8122-4EAE-A2FA-97A4C03E410A}"/>
    <hyperlink ref="D13" location="RNOD!A1" display="wewnętrzny" xr:uid="{40E46A9D-6B55-47DA-B22B-27375F74687B}"/>
    <hyperlink ref="D26" location="Informacje!A1" display="wewnętrzny" xr:uid="{B0189B01-F90E-4C32-8311-587750D9633A}"/>
    <hyperlink ref="D9" location="AROD!A1" display="wewnętrzny" xr:uid="{A7DFB870-8DE0-49BE-A661-2A77A143F1C2}"/>
    <hyperlink ref="D20" location="WUDM!A1" display="wewnętrzny" xr:uid="{A00FC0E1-D208-4DCA-AB2A-97A0868E437C}"/>
    <hyperlink ref="D10" location="KDPIA!A1" display="wewnętrzny" xr:uid="{7F6B314B-89C4-4910-8E9D-8DC83E9B350F}"/>
    <hyperlink ref="D11" location="DPIA!A1" display="wewnętrzny" xr:uid="{672A5E42-E2E3-4002-9534-519966B4F8AC}"/>
    <hyperlink ref="D14" r:id="rId2" xr:uid="{F1AA30C5-133D-4C4B-808A-936F53EF89C8}"/>
    <hyperlink ref="D15" r:id="rId3" xr:uid="{281D3C03-8722-4908-ADCB-53A4DE1562EA}"/>
    <hyperlink ref="D30" r:id="rId4" xr:uid="{707054E7-9DA9-4AEA-BD7D-25536E0FDD38}"/>
    <hyperlink ref="D19" location="Systemy!A1" display="wewnętrzny" xr:uid="{413FFCA1-BE8E-4D2C-8D92-C996F1DD6E01}"/>
    <hyperlink ref="D29" r:id="rId5" xr:uid="{33F1BD37-D0B5-4DF9-BB13-44395D444DB5}"/>
    <hyperlink ref="D25" r:id="rId6" xr:uid="{252D54EE-BBA5-454E-BA1B-EE0CFBCBA870}"/>
    <hyperlink ref="D24" r:id="rId7" xr:uid="{CD1235C0-0215-4188-A57D-A9FA3FDE699F}"/>
    <hyperlink ref="D21" r:id="rId8" xr:uid="{921086D5-6D0D-4D82-B458-472A8DC8A5D4}"/>
    <hyperlink ref="D22" r:id="rId9" xr:uid="{6148830E-C1A7-4D56-8286-5D0E7FDCF7BF}"/>
    <hyperlink ref="D23" r:id="rId10" xr:uid="{4712330B-B8EC-4EF1-BAD9-E45D08115E0C}"/>
    <hyperlink ref="D27" r:id="rId11" xr:uid="{E1096C05-57BF-466F-A6DA-F7B087727D41}"/>
    <hyperlink ref="D28" r:id="rId12" xr:uid="{D07EAFD5-06E5-4B56-BA64-AF22C294598F}"/>
    <hyperlink ref="D31" r:id="rId13" xr:uid="{0900BCA4-EFC4-469F-B363-02D895A725D1}"/>
    <hyperlink ref="D32" r:id="rId14" xr:uid="{D216FA47-CDCC-4734-939F-D7471021F85B}"/>
  </hyperlinks>
  <pageMargins left="0.7" right="0.7" top="0.75" bottom="0.75" header="0.3" footer="0.3"/>
  <pageSetup paperSize="9" orientation="portrait" r:id="rId15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7CDE-53BE-4810-8F7D-6BAA6D22A061}">
  <sheetPr>
    <tabColor rgb="FF00B050"/>
  </sheetPr>
  <dimension ref="A2:I11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E18" sqref="E18"/>
    </sheetView>
  </sheetViews>
  <sheetFormatPr defaultRowHeight="14.4" x14ac:dyDescent="0.3"/>
  <cols>
    <col min="1" max="1" width="8.88671875" style="9"/>
    <col min="2" max="2" width="42.5546875" customWidth="1"/>
    <col min="3" max="3" width="17.77734375" style="9" customWidth="1"/>
    <col min="4" max="4" width="27.6640625" customWidth="1"/>
    <col min="5" max="5" width="23.88671875" customWidth="1"/>
    <col min="6" max="6" width="27" customWidth="1"/>
    <col min="7" max="7" width="22.88671875" customWidth="1"/>
    <col min="8" max="8" width="18" style="9" customWidth="1"/>
    <col min="9" max="9" width="15.44140625" style="9" customWidth="1"/>
  </cols>
  <sheetData>
    <row r="2" spans="1:9" ht="31.2" x14ac:dyDescent="0.6">
      <c r="B2" s="26" t="s">
        <v>192</v>
      </c>
    </row>
    <row r="3" spans="1:9" ht="15" customHeight="1" x14ac:dyDescent="0.3"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/>
      </c>
    </row>
    <row r="4" spans="1:9" ht="16.2" customHeight="1" x14ac:dyDescent="0.6">
      <c r="B4" s="26"/>
    </row>
    <row r="5" spans="1:9" ht="25.2" customHeight="1" x14ac:dyDescent="0.3">
      <c r="A5" s="13"/>
      <c r="B5" s="13"/>
      <c r="C5" s="13"/>
      <c r="D5" s="13"/>
      <c r="E5" s="13"/>
      <c r="F5" s="13"/>
      <c r="G5" s="13"/>
      <c r="H5" s="13"/>
      <c r="I5" s="13"/>
    </row>
    <row r="6" spans="1:9" ht="20.399999999999999" customHeight="1" x14ac:dyDescent="0.3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</row>
    <row r="7" spans="1:9" ht="8.4" customHeight="1" x14ac:dyDescent="0.3">
      <c r="A7" s="16"/>
      <c r="B7" s="34"/>
      <c r="C7" s="16"/>
      <c r="D7" s="34"/>
      <c r="E7" s="34"/>
      <c r="F7" s="16"/>
      <c r="G7" s="16"/>
      <c r="H7" s="16"/>
      <c r="I7" s="16"/>
    </row>
    <row r="8" spans="1:9" s="11" customFormat="1" ht="27" customHeight="1" x14ac:dyDescent="0.3">
      <c r="A8" s="10" t="s">
        <v>195</v>
      </c>
      <c r="B8" s="35" t="s">
        <v>193</v>
      </c>
      <c r="C8" s="10" t="s">
        <v>15</v>
      </c>
      <c r="D8" s="35" t="s">
        <v>3</v>
      </c>
      <c r="E8" s="35" t="s">
        <v>4</v>
      </c>
      <c r="F8" s="10" t="s">
        <v>5</v>
      </c>
      <c r="G8" s="10" t="s">
        <v>6</v>
      </c>
      <c r="H8" s="10" t="s">
        <v>533</v>
      </c>
      <c r="I8" s="10" t="s">
        <v>534</v>
      </c>
    </row>
    <row r="9" spans="1:9" s="11" customFormat="1" ht="18.600000000000001" customHeight="1" x14ac:dyDescent="0.3">
      <c r="A9" s="10" t="s">
        <v>304</v>
      </c>
      <c r="B9" s="11" t="s">
        <v>12</v>
      </c>
      <c r="C9" s="10" t="s">
        <v>537</v>
      </c>
      <c r="H9" s="57">
        <v>45292</v>
      </c>
      <c r="I9" s="57"/>
    </row>
    <row r="10" spans="1:9" s="11" customFormat="1" ht="19.8" customHeight="1" x14ac:dyDescent="0.3">
      <c r="A10" s="10" t="s">
        <v>305</v>
      </c>
      <c r="B10" s="11" t="s">
        <v>7</v>
      </c>
      <c r="C10" s="10" t="s">
        <v>535</v>
      </c>
      <c r="H10" s="57"/>
      <c r="I10" s="57"/>
    </row>
    <row r="11" spans="1:9" s="11" customFormat="1" ht="18" customHeight="1" x14ac:dyDescent="0.3">
      <c r="A11" s="10" t="s">
        <v>306</v>
      </c>
      <c r="B11" s="11" t="s">
        <v>8</v>
      </c>
      <c r="C11" s="10" t="s">
        <v>535</v>
      </c>
      <c r="H11" s="57"/>
      <c r="I11" s="57"/>
    </row>
  </sheetData>
  <dataValidations count="1">
    <dataValidation type="list" allowBlank="1" showInputMessage="1" showErrorMessage="1" sqref="C9:C11" xr:uid="{B7B8EA2B-9C69-472B-80D1-B180C883E351}">
      <formula1>rng\Role.Status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BD50-0811-463C-94A3-B13A524761D4}">
  <sheetPr>
    <tabColor rgb="FF00B050"/>
  </sheetPr>
  <dimension ref="A2:F20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21" sqref="C21"/>
    </sheetView>
  </sheetViews>
  <sheetFormatPr defaultRowHeight="14.4" x14ac:dyDescent="0.3"/>
  <cols>
    <col min="1" max="1" width="8.88671875" style="9"/>
    <col min="2" max="2" width="15.44140625" style="9" customWidth="1"/>
    <col min="3" max="3" width="36" customWidth="1"/>
    <col min="4" max="4" width="32.21875" customWidth="1"/>
    <col min="5" max="5" width="22.44140625" style="31" customWidth="1"/>
    <col min="6" max="6" width="64.33203125" customWidth="1"/>
  </cols>
  <sheetData>
    <row r="2" spans="1:6" ht="31.2" x14ac:dyDescent="0.6">
      <c r="B2" s="26" t="s">
        <v>384</v>
      </c>
      <c r="D2" s="4"/>
    </row>
    <row r="3" spans="1:6" ht="16.8" customHeight="1" x14ac:dyDescent="0.6">
      <c r="B3" s="26"/>
      <c r="D3" s="4"/>
    </row>
    <row r="4" spans="1:6" ht="16.8" customHeight="1" x14ac:dyDescent="0.6">
      <c r="B4" s="26"/>
      <c r="D4" s="4"/>
    </row>
    <row r="5" spans="1:6" s="45" customFormat="1" ht="28.8" customHeight="1" x14ac:dyDescent="0.3">
      <c r="A5" s="49"/>
      <c r="B5" s="50"/>
      <c r="C5" s="49"/>
      <c r="D5" s="51" t="s">
        <v>376</v>
      </c>
      <c r="E5" s="51" t="s">
        <v>375</v>
      </c>
      <c r="F5" s="49"/>
    </row>
    <row r="6" spans="1:6" ht="18.600000000000001" customHeight="1" x14ac:dyDescent="0.3">
      <c r="A6" s="39">
        <v>1</v>
      </c>
      <c r="B6" s="39">
        <v>2</v>
      </c>
      <c r="C6" s="39">
        <v>3</v>
      </c>
      <c r="D6" s="39">
        <v>4</v>
      </c>
      <c r="E6" s="39">
        <v>5</v>
      </c>
      <c r="F6" s="39">
        <v>6</v>
      </c>
    </row>
    <row r="7" spans="1:6" ht="8.4" customHeight="1" x14ac:dyDescent="0.3">
      <c r="A7" s="39"/>
      <c r="B7" s="41"/>
      <c r="C7" s="42"/>
      <c r="D7" s="3"/>
      <c r="E7" s="52"/>
      <c r="F7" s="3"/>
    </row>
    <row r="8" spans="1:6" ht="31.2" customHeight="1" thickBot="1" x14ac:dyDescent="0.35">
      <c r="A8" s="22" t="s">
        <v>195</v>
      </c>
      <c r="B8" s="43" t="s">
        <v>44</v>
      </c>
      <c r="C8" s="44" t="s">
        <v>303</v>
      </c>
      <c r="D8" s="23" t="s">
        <v>14</v>
      </c>
      <c r="E8" s="23" t="s">
        <v>43</v>
      </c>
      <c r="F8" s="24" t="s">
        <v>0</v>
      </c>
    </row>
    <row r="9" spans="1:6" ht="15" thickTop="1" x14ac:dyDescent="0.3">
      <c r="A9" s="9" t="s">
        <v>328</v>
      </c>
      <c r="B9" s="25">
        <v>46023</v>
      </c>
      <c r="C9" t="s">
        <v>441</v>
      </c>
      <c r="D9" t="s">
        <v>302</v>
      </c>
      <c r="E9" s="32" t="s">
        <v>50</v>
      </c>
    </row>
    <row r="10" spans="1:6" x14ac:dyDescent="0.3">
      <c r="A10" s="9" t="s">
        <v>329</v>
      </c>
      <c r="B10" s="25">
        <v>46055</v>
      </c>
      <c r="D10" t="s">
        <v>299</v>
      </c>
      <c r="E10" s="32" t="s">
        <v>383</v>
      </c>
    </row>
    <row r="11" spans="1:6" x14ac:dyDescent="0.3">
      <c r="A11" s="9" t="s">
        <v>330</v>
      </c>
      <c r="E11" s="32"/>
    </row>
    <row r="12" spans="1:6" x14ac:dyDescent="0.3">
      <c r="A12" s="9" t="s">
        <v>331</v>
      </c>
      <c r="E12" s="32"/>
    </row>
    <row r="13" spans="1:6" x14ac:dyDescent="0.3">
      <c r="A13" s="9" t="s">
        <v>332</v>
      </c>
      <c r="E13" s="32"/>
    </row>
    <row r="14" spans="1:6" x14ac:dyDescent="0.3">
      <c r="A14" s="9" t="s">
        <v>333</v>
      </c>
      <c r="E14" s="32"/>
    </row>
    <row r="15" spans="1:6" x14ac:dyDescent="0.3">
      <c r="A15" s="9" t="s">
        <v>334</v>
      </c>
      <c r="E15" s="32"/>
    </row>
    <row r="16" spans="1:6" x14ac:dyDescent="0.3">
      <c r="A16" s="9" t="s">
        <v>335</v>
      </c>
      <c r="E16" s="32"/>
    </row>
    <row r="17" spans="1:5" x14ac:dyDescent="0.3">
      <c r="A17" s="9" t="s">
        <v>336</v>
      </c>
      <c r="E17" s="32"/>
    </row>
    <row r="18" spans="1:5" x14ac:dyDescent="0.3">
      <c r="A18" s="9" t="s">
        <v>337</v>
      </c>
      <c r="E18" s="32"/>
    </row>
    <row r="19" spans="1:5" x14ac:dyDescent="0.3">
      <c r="A19" s="9" t="s">
        <v>338</v>
      </c>
      <c r="E19" s="32"/>
    </row>
    <row r="20" spans="1:5" x14ac:dyDescent="0.3">
      <c r="A20" s="9" t="s">
        <v>339</v>
      </c>
      <c r="E20" s="32"/>
    </row>
  </sheetData>
  <phoneticPr fontId="4" type="noConversion"/>
  <dataValidations count="2">
    <dataValidation type="list" allowBlank="1" showInputMessage="1" showErrorMessage="1" sqref="D9:D20" xr:uid="{1BDD5B5B-E176-4F94-9ACD-FAB322080DB3}">
      <formula1>arr\Dict.Documents</formula1>
    </dataValidation>
    <dataValidation type="list" allowBlank="1" showInputMessage="1" showErrorMessage="1" sqref="C9:C20" xr:uid="{B8464FFA-949B-49C8-9DCF-ECCF26A5116A}">
      <formula1>arr\Dict.Events.Data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4C53-58EF-440E-914E-AEDBAC572FCB}">
  <sheetPr>
    <tabColor theme="4"/>
  </sheetPr>
  <dimension ref="A2:Q14"/>
  <sheetViews>
    <sheetView showGridLines="0" workbookViewId="0">
      <pane xSplit="3" ySplit="8" topLeftCell="D9" activePane="bottomRight" state="frozen"/>
      <selection pane="topRight" activeCell="D1" sqref="D1"/>
      <selection pane="bottomLeft" activeCell="A8" sqref="A8"/>
      <selection pane="bottomRight" activeCell="C10" sqref="C10"/>
    </sheetView>
  </sheetViews>
  <sheetFormatPr defaultRowHeight="14.4" x14ac:dyDescent="0.3"/>
  <cols>
    <col min="1" max="1" width="8.77734375" style="17" customWidth="1"/>
    <col min="2" max="2" width="29.77734375" style="4" customWidth="1"/>
    <col min="3" max="3" width="32" style="4" customWidth="1"/>
    <col min="4" max="4" width="33.33203125" style="4" customWidth="1"/>
    <col min="5" max="5" width="25" style="4" customWidth="1"/>
    <col min="6" max="6" width="27" style="4" customWidth="1"/>
    <col min="7" max="7" width="26.33203125" style="18" customWidth="1"/>
    <col min="8" max="8" width="32.109375" style="4" customWidth="1"/>
    <col min="9" max="9" width="36.21875" style="4" customWidth="1"/>
    <col min="10" max="10" width="20.109375" style="4" customWidth="1"/>
    <col min="11" max="11" width="23.44140625" style="4" customWidth="1"/>
    <col min="12" max="12" width="39.21875" style="4" customWidth="1"/>
    <col min="13" max="13" width="25.5546875" style="4" customWidth="1"/>
    <col min="14" max="14" width="45.6640625" style="4" customWidth="1"/>
    <col min="15" max="15" width="24.21875" style="17" customWidth="1"/>
    <col min="16" max="16" width="36" style="4" customWidth="1"/>
    <col min="17" max="17" width="24.44140625" style="4" customWidth="1"/>
    <col min="18" max="16384" width="8.88671875" style="4"/>
  </cols>
  <sheetData>
    <row r="2" spans="1:17" ht="31.2" x14ac:dyDescent="0.6">
      <c r="B2" s="21" t="s">
        <v>302</v>
      </c>
    </row>
    <row r="3" spans="1:17" x14ac:dyDescent="0.3"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>Wersja: 1.0 | Data ostatniej zmiany: 01.01.2026</v>
      </c>
      <c r="G3" s="4"/>
    </row>
    <row r="5" spans="1:17" s="18" customFormat="1" ht="28.8" x14ac:dyDescent="0.3">
      <c r="A5" s="47"/>
      <c r="B5" s="46"/>
      <c r="C5" s="46"/>
      <c r="D5" s="48" t="s">
        <v>185</v>
      </c>
      <c r="E5" s="48" t="s">
        <v>186</v>
      </c>
      <c r="F5" s="48" t="s">
        <v>186</v>
      </c>
      <c r="G5" s="46"/>
      <c r="H5" s="46"/>
      <c r="I5" s="48" t="s">
        <v>187</v>
      </c>
      <c r="J5" s="48" t="s">
        <v>188</v>
      </c>
      <c r="K5" s="48" t="s">
        <v>189</v>
      </c>
      <c r="L5" s="48" t="s">
        <v>189</v>
      </c>
      <c r="M5" s="46"/>
      <c r="N5" s="48" t="s">
        <v>190</v>
      </c>
      <c r="O5" s="46"/>
      <c r="P5" s="48" t="s">
        <v>191</v>
      </c>
      <c r="Q5" s="48" t="s">
        <v>288</v>
      </c>
    </row>
    <row r="6" spans="1:17" ht="14.4" customHeight="1" x14ac:dyDescent="0.3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  <c r="J6" s="16">
        <v>10</v>
      </c>
      <c r="K6" s="16">
        <v>11</v>
      </c>
      <c r="L6" s="16">
        <v>12</v>
      </c>
      <c r="M6" s="16">
        <v>13</v>
      </c>
      <c r="N6" s="16">
        <v>14</v>
      </c>
      <c r="O6" s="16">
        <v>15</v>
      </c>
      <c r="P6" s="16">
        <v>16</v>
      </c>
      <c r="Q6" s="16">
        <v>17</v>
      </c>
    </row>
    <row r="7" spans="1:17" ht="8.4" customHeight="1" x14ac:dyDescent="0.3">
      <c r="A7" s="16"/>
      <c r="B7" s="16"/>
      <c r="C7" s="16"/>
      <c r="D7" s="34"/>
      <c r="E7" s="34"/>
      <c r="F7" s="34"/>
      <c r="G7" s="19"/>
      <c r="H7" s="16"/>
      <c r="I7" s="34"/>
      <c r="J7" s="68"/>
      <c r="K7" s="68"/>
      <c r="L7" s="34"/>
      <c r="M7" s="68"/>
      <c r="N7" s="34"/>
      <c r="O7" s="16"/>
      <c r="P7" s="34"/>
      <c r="Q7" s="34"/>
    </row>
    <row r="8" spans="1:17" ht="57.6" x14ac:dyDescent="0.3">
      <c r="A8" s="6" t="s">
        <v>195</v>
      </c>
      <c r="B8" s="6" t="s">
        <v>179</v>
      </c>
      <c r="C8" s="6" t="s">
        <v>234</v>
      </c>
      <c r="D8" s="6" t="s">
        <v>180</v>
      </c>
      <c r="E8" s="6" t="s">
        <v>181</v>
      </c>
      <c r="F8" s="6" t="s">
        <v>182</v>
      </c>
      <c r="G8" s="6" t="s">
        <v>42</v>
      </c>
      <c r="H8" s="6" t="s">
        <v>183</v>
      </c>
      <c r="I8" s="6" t="s">
        <v>235</v>
      </c>
      <c r="J8" s="6" t="s">
        <v>106</v>
      </c>
      <c r="K8" s="6" t="s">
        <v>236</v>
      </c>
      <c r="L8" s="6" t="s">
        <v>237</v>
      </c>
      <c r="M8" s="6" t="s">
        <v>238</v>
      </c>
      <c r="N8" s="6" t="s">
        <v>239</v>
      </c>
      <c r="O8" s="5" t="s">
        <v>19</v>
      </c>
      <c r="P8" s="5" t="s">
        <v>184</v>
      </c>
      <c r="Q8" s="5" t="s">
        <v>287</v>
      </c>
    </row>
    <row r="9" spans="1:17" ht="72" x14ac:dyDescent="0.3">
      <c r="A9" s="5" t="s">
        <v>197</v>
      </c>
      <c r="B9" s="1" t="s">
        <v>198</v>
      </c>
      <c r="C9" s="1" t="s">
        <v>240</v>
      </c>
      <c r="D9" s="1" t="s">
        <v>241</v>
      </c>
      <c r="E9" s="1" t="s">
        <v>242</v>
      </c>
      <c r="F9" s="1" t="s">
        <v>243</v>
      </c>
      <c r="G9" s="20" t="s">
        <v>244</v>
      </c>
      <c r="H9" s="1" t="s">
        <v>245</v>
      </c>
      <c r="I9" s="1" t="s">
        <v>246</v>
      </c>
      <c r="J9" s="69" t="str" cm="1">
        <f t="array" ref="J9">IF(
    COUNTIF(tab\ADMxRCP[Czynność przetwarzania], tab\RCP[[#This Row],[Nazwa czynności przetwarzania]])=0,
    var\Symbol.NotApplicable,
    _xlfn.TEXTJOIN("; ", TRUE,
        IF(tab\PROCxRCP[Czynność przetwarzania]=tab\RCP[[#This Row],[Nazwa czynności przetwarzania]], tab\ADMxRCP[Administrator], "")
    )
)</f>
        <v>Nie dotyczy</v>
      </c>
      <c r="K9" s="69" t="str" cm="1">
        <f t="array" ref="K9">IF(
    COUNTIF(tab\PROCxRCP[Czynność przetwarzania], tab\RCP[[#This Row],[Nazwa czynności przetwarzania]])=0,
    var\Symbol.NotApplicable,
    _xlfn.TEXTJOIN("; ", TRUE,
        IF(tab\PROCxRCP[Czynność przetwarzania]=tab\RCP[[#This Row],[Nazwa czynności przetwarzania]], tab\PROCxRCP[Procesor], "")
    )
)</f>
        <v>MyDr</v>
      </c>
      <c r="L9" s="69" t="s">
        <v>247</v>
      </c>
      <c r="M9" s="69" t="str" cm="1">
        <f t="array" ref="M9">IF(
    COUNTIF(tab\SYSxRCP[Czynność przetwarzania], tab\RCP[[#This Row],[Nazwa czynności przetwarzania]])=0,
    var\Symbol.NotApplicable,
    _xlfn.TEXTJOIN("; ", TRUE,
        IF(tab\SYSxRCP[Czynność przetwarzania]=tab\RCP[[#This Row],[Nazwa czynności przetwarzania]], tab\SYSxRCP[System], "")
    )
)</f>
        <v>MyDr</v>
      </c>
      <c r="N9" s="1" t="s">
        <v>248</v>
      </c>
      <c r="O9" s="5" t="s">
        <v>515</v>
      </c>
      <c r="P9" s="5" t="s">
        <v>13</v>
      </c>
      <c r="Q9" s="5" t="s">
        <v>13</v>
      </c>
    </row>
    <row r="10" spans="1:17" ht="115.2" x14ac:dyDescent="0.3">
      <c r="A10" s="5" t="s">
        <v>200</v>
      </c>
      <c r="B10" s="1" t="s">
        <v>201</v>
      </c>
      <c r="C10" s="1" t="s">
        <v>240</v>
      </c>
      <c r="D10" s="1" t="s">
        <v>249</v>
      </c>
      <c r="E10" s="1" t="s">
        <v>250</v>
      </c>
      <c r="F10" s="1" t="s">
        <v>251</v>
      </c>
      <c r="G10" s="20" t="s">
        <v>252</v>
      </c>
      <c r="H10" s="1" t="s">
        <v>253</v>
      </c>
      <c r="I10" s="1" t="s">
        <v>254</v>
      </c>
      <c r="J10" s="69" t="str" cm="1">
        <f t="array" ref="J10">IF(
    COUNTIF(tab\ADMxRCP[Czynność przetwarzania], tab\RCP[[#This Row],[Nazwa czynności przetwarzania]])=0,
    var\Symbol.NotApplicable,
    _xlfn.TEXTJOIN("; ", TRUE,
        IF(tab\PROCxRCP[Czynność przetwarzania]=tab\RCP[[#This Row],[Nazwa czynności przetwarzania]], tab\ADMxRCP[Administrator], "")
    )
)</f>
        <v>Nie dotyczy</v>
      </c>
      <c r="K10" s="69" t="str" cm="1">
        <f t="array" ref="K10">IF(
    COUNTIF(tab\PROCxRCP[Czynność przetwarzania], tab\RCP[[#This Row],[Nazwa czynności przetwarzania]])=0,
    var\Symbol.NotApplicable,
    _xlfn.TEXTJOIN("; ", TRUE,
        IF(tab\PROCxRCP[Czynność przetwarzania]=tab\RCP[[#This Row],[Nazwa czynności przetwarzania]], tab\PROCxRCP[Procesor], "")
    )
)</f>
        <v>MyDr</v>
      </c>
      <c r="L10" s="69" t="s">
        <v>255</v>
      </c>
      <c r="M10" s="69" t="str" cm="1">
        <f t="array" ref="M10">IF(
    COUNTIF(tab\SYSxRCP[Czynność przetwarzania], tab\RCP[[#This Row],[Nazwa czynności przetwarzania]])=0,
    var\Symbol.NotApplicable,
    _xlfn.TEXTJOIN("; ", TRUE,
        IF(tab\SYSxRCP[Czynność przetwarzania]=tab\RCP[[#This Row],[Nazwa czynności przetwarzania]], tab\SYSxRCP[System], "")
    )
)</f>
        <v>MyDr</v>
      </c>
      <c r="N10" s="1" t="s">
        <v>289</v>
      </c>
      <c r="O10" s="5" t="s">
        <v>515</v>
      </c>
      <c r="P10" s="5" t="s">
        <v>13</v>
      </c>
      <c r="Q10" s="5" t="s">
        <v>13</v>
      </c>
    </row>
    <row r="11" spans="1:17" ht="100.8" x14ac:dyDescent="0.3">
      <c r="A11" s="5" t="s">
        <v>203</v>
      </c>
      <c r="B11" s="1" t="s">
        <v>210</v>
      </c>
      <c r="C11" s="1" t="s">
        <v>240</v>
      </c>
      <c r="D11" s="1" t="s">
        <v>256</v>
      </c>
      <c r="E11" s="1" t="s">
        <v>257</v>
      </c>
      <c r="F11" s="1" t="s">
        <v>258</v>
      </c>
      <c r="G11" s="20" t="s">
        <v>259</v>
      </c>
      <c r="H11" s="1" t="s">
        <v>260</v>
      </c>
      <c r="I11" s="1" t="s">
        <v>261</v>
      </c>
      <c r="J11" s="69" t="str" cm="1">
        <f t="array" ref="J11">IF(
    COUNTIF(tab\ADMxRCP[Czynność przetwarzania], tab\RCP[[#This Row],[Nazwa czynności przetwarzania]])=0,
    var\Symbol.NotApplicable,
    _xlfn.TEXTJOIN("; ", TRUE,
        IF(tab\PROCxRCP[Czynność przetwarzania]=tab\RCP[[#This Row],[Nazwa czynności przetwarzania]], tab\ADMxRCP[Administrator], "")
    )
)</f>
        <v>Nie dotyczy</v>
      </c>
      <c r="K11" s="69" t="str" cm="1">
        <f t="array" ref="K11">IF(
    COUNTIF(tab\PROCxRCP[Czynność przetwarzania], tab\RCP[[#This Row],[Nazwa czynności przetwarzania]])=0,
    var\Symbol.NotApplicable,
    _xlfn.TEXTJOIN("; ", TRUE,
        IF(tab\PROCxRCP[Czynność przetwarzania]=tab\RCP[[#This Row],[Nazwa czynności przetwarzania]], tab\PROCxRCP[Procesor], "")
    )
)</f>
        <v>Nie dotyczy</v>
      </c>
      <c r="L11" s="69" t="s">
        <v>262</v>
      </c>
      <c r="M11" s="69" t="str" cm="1">
        <f t="array" ref="M11">IF(
    COUNTIF(tab\SYSxRCP[Czynność przetwarzania], tab\RCP[[#This Row],[Nazwa czynności przetwarzania]])=0,
    var\Symbol.NotApplicable,
    _xlfn.TEXTJOIN("; ", TRUE,
        IF(tab\SYSxRCP[Czynność przetwarzania]=tab\RCP[[#This Row],[Nazwa czynności przetwarzania]], tab\SYSxRCP[System], "")
    )
)</f>
        <v>poczta</v>
      </c>
      <c r="N11" s="1" t="s">
        <v>263</v>
      </c>
      <c r="O11" s="5" t="s">
        <v>515</v>
      </c>
      <c r="P11" s="5" t="s">
        <v>13</v>
      </c>
      <c r="Q11" s="5" t="s">
        <v>13</v>
      </c>
    </row>
    <row r="12" spans="1:17" ht="86.4" x14ac:dyDescent="0.3">
      <c r="A12" s="5" t="s">
        <v>206</v>
      </c>
      <c r="B12" s="1" t="s">
        <v>217</v>
      </c>
      <c r="C12" s="1" t="s">
        <v>240</v>
      </c>
      <c r="D12" s="1" t="s">
        <v>264</v>
      </c>
      <c r="E12" s="1" t="s">
        <v>265</v>
      </c>
      <c r="F12" s="1" t="s">
        <v>266</v>
      </c>
      <c r="G12" s="20" t="s">
        <v>267</v>
      </c>
      <c r="H12" s="1" t="s">
        <v>268</v>
      </c>
      <c r="I12" s="1" t="s">
        <v>269</v>
      </c>
      <c r="J12" s="69" t="str" cm="1">
        <f t="array" ref="J12">IF(
    COUNTIF(tab\ADMxRCP[Czynność przetwarzania], tab\RCP[[#This Row],[Nazwa czynności przetwarzania]])=0,
    var\Symbol.NotApplicable,
    _xlfn.TEXTJOIN("; ", TRUE,
        IF(tab\PROCxRCP[Czynność przetwarzania]=tab\RCP[[#This Row],[Nazwa czynności przetwarzania]], tab\ADMxRCP[Administrator], "")
    )
)</f>
        <v>Nie dotyczy</v>
      </c>
      <c r="K12" s="69" t="str" cm="1">
        <f t="array" ref="K12">IF(
    COUNTIF(tab\PROCxRCP[Czynność przetwarzania], tab\RCP[[#This Row],[Nazwa czynności przetwarzania]])=0,
    var\Symbol.NotApplicable,
    _xlfn.TEXTJOIN("; ", TRUE,
        IF(tab\PROCxRCP[Czynność przetwarzania]=tab\RCP[[#This Row],[Nazwa czynności przetwarzania]], tab\PROCxRCP[Procesor], "")
    )
)</f>
        <v>Nie dotyczy</v>
      </c>
      <c r="L12" s="69" t="s">
        <v>270</v>
      </c>
      <c r="M12" s="69" t="str" cm="1">
        <f t="array" ref="M12">IF(
    COUNTIF(tab\SYSxRCP[Czynność przetwarzania], tab\RCP[[#This Row],[Nazwa czynności przetwarzania]])=0,
    var\Symbol.NotApplicable,
    _xlfn.TEXTJOIN("; ", TRUE,
        IF(tab\SYSxRCP[Czynność przetwarzania]=tab\RCP[[#This Row],[Nazwa czynności przetwarzania]], tab\SYSxRCP[System], "")
    )
)</f>
        <v>Nie dotyczy</v>
      </c>
      <c r="N12" s="1" t="s">
        <v>271</v>
      </c>
      <c r="O12" s="5" t="s">
        <v>515</v>
      </c>
      <c r="P12" s="5" t="s">
        <v>13</v>
      </c>
      <c r="Q12" s="5" t="s">
        <v>13</v>
      </c>
    </row>
    <row r="13" spans="1:17" ht="86.4" x14ac:dyDescent="0.3">
      <c r="A13" s="5" t="s">
        <v>209</v>
      </c>
      <c r="B13" s="1" t="s">
        <v>219</v>
      </c>
      <c r="C13" s="1" t="s">
        <v>240</v>
      </c>
      <c r="D13" s="1" t="s">
        <v>272</v>
      </c>
      <c r="E13" s="1" t="s">
        <v>273</v>
      </c>
      <c r="F13" s="1" t="s">
        <v>274</v>
      </c>
      <c r="G13" s="20" t="s">
        <v>275</v>
      </c>
      <c r="H13" s="1" t="s">
        <v>276</v>
      </c>
      <c r="I13" s="1" t="s">
        <v>277</v>
      </c>
      <c r="J13" s="69" t="str" cm="1">
        <f t="array" ref="J13">IF(
    COUNTIF(tab\ADMxRCP[Czynność przetwarzania], tab\RCP[[#This Row],[Nazwa czynności przetwarzania]])=0,
    var\Symbol.NotApplicable,
    _xlfn.TEXTJOIN("; ", TRUE,
        IF(tab\PROCxRCP[Czynność przetwarzania]=tab\RCP[[#This Row],[Nazwa czynności przetwarzania]], tab\ADMxRCP[Administrator], "")
    )
)</f>
        <v>Nie dotyczy</v>
      </c>
      <c r="K13" s="69" t="str" cm="1">
        <f t="array" ref="K13">IF(
    COUNTIF(tab\PROCxRCP[Czynność przetwarzania], tab\RCP[[#This Row],[Nazwa czynności przetwarzania]])=0,
    var\Symbol.NotApplicable,
    _xlfn.TEXTJOIN("; ", TRUE,
        IF(tab\PROCxRCP[Czynność przetwarzania]=tab\RCP[[#This Row],[Nazwa czynności przetwarzania]], tab\PROCxRCP[Procesor], "")
    )
)</f>
        <v>Nie dotyczy</v>
      </c>
      <c r="L13" s="69" t="s">
        <v>278</v>
      </c>
      <c r="M13" s="69" t="str" cm="1">
        <f t="array" ref="M13">IF(
    COUNTIF(tab\SYSxRCP[Czynność przetwarzania], tab\RCP[[#This Row],[Nazwa czynności przetwarzania]])=0,
    var\Symbol.NotApplicable,
    _xlfn.TEXTJOIN("; ", TRUE,
        IF(tab\SYSxRCP[Czynność przetwarzania]=tab\RCP[[#This Row],[Nazwa czynności przetwarzania]], tab\SYSxRCP[System], "")
    )
)</f>
        <v>Nie dotyczy</v>
      </c>
      <c r="N13" s="1" t="s">
        <v>279</v>
      </c>
      <c r="O13" s="5" t="s">
        <v>515</v>
      </c>
      <c r="P13" s="5" t="s">
        <v>13</v>
      </c>
      <c r="Q13" s="5" t="s">
        <v>13</v>
      </c>
    </row>
    <row r="14" spans="1:17" ht="100.8" x14ac:dyDescent="0.3">
      <c r="A14" s="5" t="s">
        <v>212</v>
      </c>
      <c r="B14" s="1" t="s">
        <v>223</v>
      </c>
      <c r="C14" s="1" t="s">
        <v>240</v>
      </c>
      <c r="D14" s="1" t="s">
        <v>280</v>
      </c>
      <c r="E14" s="1" t="s">
        <v>281</v>
      </c>
      <c r="F14" s="1" t="s">
        <v>282</v>
      </c>
      <c r="G14" s="20" t="s">
        <v>283</v>
      </c>
      <c r="H14" s="1" t="s">
        <v>284</v>
      </c>
      <c r="I14" s="1" t="s">
        <v>285</v>
      </c>
      <c r="J14" s="69" t="str" cm="1">
        <f t="array" ref="J14">IF(
    COUNTIF(tab\ADMxRCP[Czynność przetwarzania], tab\RCP[[#This Row],[Nazwa czynności przetwarzania]])=0,
    var\Symbol.NotApplicable,
    _xlfn.TEXTJOIN("; ", TRUE,
        IF(tab\PROCxRCP[Czynność przetwarzania]=tab\RCP[[#This Row],[Nazwa czynności przetwarzania]], tab\ADMxRCP[Administrator], "")
    )
)</f>
        <v>Nie dotyczy</v>
      </c>
      <c r="K14" s="69" t="str" cm="1">
        <f t="array" ref="K14">IF(
    COUNTIF(tab\PROCxRCP[Czynność przetwarzania], tab\RCP[[#This Row],[Nazwa czynności przetwarzania]])=0,
    var\Symbol.NotApplicable,
    _xlfn.TEXTJOIN("; ", TRUE,
        IF(tab\PROCxRCP[Czynność przetwarzania]=tab\RCP[[#This Row],[Nazwa czynności przetwarzania]], tab\PROCxRCP[Procesor], "")
    )
)</f>
        <v>Nie dotyczy</v>
      </c>
      <c r="L14" s="69" t="s">
        <v>292</v>
      </c>
      <c r="M14" s="69" t="str" cm="1">
        <f t="array" ref="M14">IF(
    COUNTIF(tab\SYSxRCP[Czynność przetwarzania], tab\RCP[[#This Row],[Nazwa czynności przetwarzania]])=0,
    var\Symbol.NotApplicable,
    _xlfn.TEXTJOIN("; ", TRUE,
        IF(tab\SYSxRCP[Czynność przetwarzania]=tab\RCP[[#This Row],[Nazwa czynności przetwarzania]], tab\SYSxRCP[System], "")
    )
)</f>
        <v>Nie dotyczy</v>
      </c>
      <c r="N14" s="1" t="s">
        <v>286</v>
      </c>
      <c r="O14" s="5" t="s">
        <v>515</v>
      </c>
      <c r="P14" s="5" t="s">
        <v>13</v>
      </c>
      <c r="Q14" s="5" t="s">
        <v>13</v>
      </c>
    </row>
  </sheetData>
  <phoneticPr fontId="4" type="noConversion"/>
  <dataValidations count="2">
    <dataValidation type="list" allowBlank="1" showInputMessage="1" showErrorMessage="1" sqref="B9:B14" xr:uid="{2ED349B9-2502-428F-AFA7-4E4BAE4A7DE9}">
      <formula1>arr\Dict.Actions</formula1>
    </dataValidation>
    <dataValidation type="list" allowBlank="1" showInputMessage="1" showErrorMessage="1" sqref="O9:O14" xr:uid="{04BB5920-D1B3-48CE-B377-77D5912551FC}">
      <formula1>rng\DPIA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70FF-FD59-4C0F-83F0-CD9CDB2BA424}">
  <sheetPr>
    <tabColor theme="4"/>
  </sheetPr>
  <dimension ref="A1:O104"/>
  <sheetViews>
    <sheetView showGridLines="0" zoomScaleNormal="100" workbookViewId="0">
      <pane xSplit="3" ySplit="8" topLeftCell="J9" activePane="bottomRight" state="frozen"/>
      <selection pane="topRight" activeCell="C1" sqref="C1"/>
      <selection pane="bottomLeft" activeCell="A8" sqref="A8"/>
      <selection pane="bottomRight" activeCell="C3" sqref="C3"/>
    </sheetView>
  </sheetViews>
  <sheetFormatPr defaultRowHeight="14.4" x14ac:dyDescent="0.3"/>
  <cols>
    <col min="1" max="2" width="11.88671875" customWidth="1"/>
    <col min="3" max="3" width="80.33203125" customWidth="1"/>
    <col min="4" max="4" width="14.88671875" style="10" customWidth="1"/>
    <col min="5" max="5" width="12.88671875" style="10" customWidth="1"/>
    <col min="6" max="7" width="18.21875" style="10" customWidth="1"/>
    <col min="8" max="8" width="21.33203125" style="10" customWidth="1"/>
    <col min="9" max="9" width="30" style="5" customWidth="1"/>
    <col min="10" max="10" width="24.44140625" style="10" customWidth="1"/>
    <col min="11" max="11" width="18.5546875" style="10" customWidth="1"/>
    <col min="12" max="12" width="14.6640625" style="10" bestFit="1" customWidth="1"/>
    <col min="13" max="13" width="17.88671875" style="10" customWidth="1"/>
    <col min="14" max="14" width="21.77734375" style="10" customWidth="1"/>
    <col min="15" max="15" width="48.44140625" style="78" customWidth="1"/>
  </cols>
  <sheetData>
    <row r="1" spans="1:15" x14ac:dyDescent="0.3">
      <c r="A1" s="17"/>
      <c r="B1" s="17"/>
      <c r="C1" s="4"/>
      <c r="D1" s="5"/>
    </row>
    <row r="2" spans="1:15" ht="31.2" x14ac:dyDescent="0.6">
      <c r="A2" s="17"/>
      <c r="B2" s="21" t="s">
        <v>715</v>
      </c>
      <c r="D2" s="5"/>
    </row>
    <row r="3" spans="1:15" ht="12" customHeight="1" x14ac:dyDescent="0.3">
      <c r="A3" s="17"/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/>
      </c>
      <c r="D3" s="5"/>
    </row>
    <row r="4" spans="1:15" x14ac:dyDescent="0.3">
      <c r="A4" s="17"/>
      <c r="B4" s="17"/>
      <c r="C4" s="53"/>
      <c r="D4" s="5"/>
    </row>
    <row r="5" spans="1:15" ht="25.2" customHeight="1" x14ac:dyDescent="0.3">
      <c r="A5" s="47"/>
      <c r="B5" s="47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79"/>
    </row>
    <row r="6" spans="1:15" x14ac:dyDescent="0.3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  <c r="J6" s="16">
        <v>10</v>
      </c>
      <c r="K6" s="16">
        <v>11</v>
      </c>
      <c r="L6" s="16">
        <v>12</v>
      </c>
      <c r="M6" s="16">
        <v>13</v>
      </c>
      <c r="N6" s="16">
        <v>14</v>
      </c>
      <c r="O6" s="80">
        <v>15</v>
      </c>
    </row>
    <row r="7" spans="1:15" ht="6" customHeight="1" x14ac:dyDescent="0.3">
      <c r="A7" s="61"/>
      <c r="B7" s="62"/>
      <c r="C7" s="75"/>
      <c r="D7" s="62"/>
      <c r="E7" s="62"/>
      <c r="F7" s="75"/>
      <c r="G7" s="75"/>
      <c r="H7" s="61"/>
      <c r="I7" s="62"/>
      <c r="J7" s="62"/>
      <c r="K7" s="62"/>
      <c r="L7" s="75"/>
      <c r="M7" s="75"/>
      <c r="N7" s="62"/>
      <c r="O7" s="81"/>
    </row>
    <row r="8" spans="1:15" s="4" customFormat="1" ht="29.4" customHeight="1" x14ac:dyDescent="0.3">
      <c r="A8" s="5" t="s">
        <v>195</v>
      </c>
      <c r="B8" s="5" t="s">
        <v>1035</v>
      </c>
      <c r="C8" s="5" t="s">
        <v>1020</v>
      </c>
      <c r="D8" s="5" t="s">
        <v>716</v>
      </c>
      <c r="E8" s="5" t="s">
        <v>717</v>
      </c>
      <c r="F8" s="5" t="s">
        <v>1021</v>
      </c>
      <c r="G8" s="5" t="s">
        <v>1023</v>
      </c>
      <c r="H8" s="5" t="s">
        <v>1022</v>
      </c>
      <c r="I8" s="5" t="s">
        <v>436</v>
      </c>
      <c r="J8" s="5" t="s">
        <v>1032</v>
      </c>
      <c r="K8" s="5" t="s">
        <v>1033</v>
      </c>
      <c r="L8" s="5" t="s">
        <v>718</v>
      </c>
      <c r="M8" s="5" t="s">
        <v>1034</v>
      </c>
      <c r="N8" s="5" t="s">
        <v>719</v>
      </c>
      <c r="O8" s="8" t="s">
        <v>47</v>
      </c>
    </row>
    <row r="9" spans="1:15" s="4" customFormat="1" ht="28.8" x14ac:dyDescent="0.3">
      <c r="A9" s="5" t="s">
        <v>895</v>
      </c>
      <c r="B9" s="5" t="s">
        <v>622</v>
      </c>
      <c r="C9" s="1" t="str" cm="1">
        <f t="array" ref="C9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Konto użytkownika -&gt; słabe/powtórzone hasło -&gt; przejęcie konta = [P+I]</v>
      </c>
      <c r="D9" s="5">
        <v>4</v>
      </c>
      <c r="E9" s="5">
        <v>4</v>
      </c>
      <c r="F9" s="5">
        <f>tab\AROD[[#This Row],[Prawdopodobieństwo]]*tab\AROD[[#This Row],[Wpływ]]</f>
        <v>16</v>
      </c>
      <c r="G9" s="5" t="str" cm="1">
        <f t="array" ref="G9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9" s="5" t="s">
        <v>1009</v>
      </c>
      <c r="I9" s="5" t="s">
        <v>1238</v>
      </c>
      <c r="J9" s="5">
        <v>1</v>
      </c>
      <c r="K9" s="5">
        <v>4</v>
      </c>
      <c r="L9" s="5">
        <f>tab\AROD[[#This Row],[Wpływ po zabezpieczeniach]]*tab\AROD[[#This Row],[Prawdopodobienstwo po zabezpieczeniach]]</f>
        <v>4</v>
      </c>
      <c r="M9" s="5" t="str" cm="1">
        <f t="array" ref="M9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" s="5" t="s">
        <v>9</v>
      </c>
      <c r="O9" s="8"/>
    </row>
    <row r="10" spans="1:15" ht="57.6" x14ac:dyDescent="0.3">
      <c r="A10" s="5" t="s">
        <v>896</v>
      </c>
      <c r="B10" s="5" t="s">
        <v>623</v>
      </c>
      <c r="C10" s="1" t="str" cm="1">
        <f t="array" ref="C10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Konto użytkownika -&gt; phishing -&gt; wyłudzenie danych logowania / przejęcie konta = [P+I]</v>
      </c>
      <c r="D10" s="5">
        <v>4</v>
      </c>
      <c r="E10" s="5">
        <v>4</v>
      </c>
      <c r="F10" s="5">
        <f>tab\AROD[[#This Row],[Prawdopodobieństwo]]*tab\AROD[[#This Row],[Wpływ]]</f>
        <v>16</v>
      </c>
      <c r="G10" s="5" t="str" cm="1">
        <f t="array" ref="G10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10" s="5" t="s">
        <v>1009</v>
      </c>
      <c r="I10" s="5" t="s">
        <v>1239</v>
      </c>
      <c r="J10" s="5">
        <v>2</v>
      </c>
      <c r="K10" s="5">
        <v>4</v>
      </c>
      <c r="L10" s="5">
        <f>tab\AROD[[#This Row],[Wpływ po zabezpieczeniach]]*tab\AROD[[#This Row],[Prawdopodobienstwo po zabezpieczeniach]]</f>
        <v>8</v>
      </c>
      <c r="M10" s="5" t="str" cm="1">
        <f t="array" ref="M10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10" s="5" t="s">
        <v>9</v>
      </c>
      <c r="O10" s="8"/>
    </row>
    <row r="11" spans="1:15" ht="57.6" x14ac:dyDescent="0.3">
      <c r="A11" s="5" t="s">
        <v>897</v>
      </c>
      <c r="B11" s="5" t="s">
        <v>624</v>
      </c>
      <c r="C11" s="1" t="str" cm="1">
        <f t="array" ref="C1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Konto użytkownika -&gt; pozostawiona aktywna sesja -&gt; dostęp osoby nieuprawnionej = [P+I]</v>
      </c>
      <c r="D11" s="5">
        <v>3</v>
      </c>
      <c r="E11" s="5">
        <v>4</v>
      </c>
      <c r="F11" s="5">
        <f>tab\AROD[[#This Row],[Prawdopodobieństwo]]*tab\AROD[[#This Row],[Wpływ]]</f>
        <v>12</v>
      </c>
      <c r="G11" s="5" t="str" cm="1">
        <f t="array" ref="G1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11" s="5" t="s">
        <v>1009</v>
      </c>
      <c r="I11" s="5" t="s">
        <v>1240</v>
      </c>
      <c r="J11" s="5">
        <v>1</v>
      </c>
      <c r="K11" s="5">
        <v>4</v>
      </c>
      <c r="L11" s="5">
        <f>tab\AROD[[#This Row],[Wpływ po zabezpieczeniach]]*tab\AROD[[#This Row],[Prawdopodobienstwo po zabezpieczeniach]]</f>
        <v>4</v>
      </c>
      <c r="M11" s="5" t="str" cm="1">
        <f t="array" ref="M1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11" s="5" t="s">
        <v>9</v>
      </c>
      <c r="O11" s="8"/>
    </row>
    <row r="12" spans="1:15" ht="57.6" x14ac:dyDescent="0.3">
      <c r="A12" s="5" t="s">
        <v>898</v>
      </c>
      <c r="B12" s="5" t="s">
        <v>625</v>
      </c>
      <c r="C12" s="1" t="str" cm="1">
        <f t="array" ref="C12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Komputer -&gt; malware -&gt; nieuprawniony dostęp / działanie złośliwego oprogramowania = [P+I+D]</v>
      </c>
      <c r="D12" s="5">
        <v>3</v>
      </c>
      <c r="E12" s="5">
        <v>5</v>
      </c>
      <c r="F12" s="5">
        <f>tab\AROD[[#This Row],[Prawdopodobieństwo]]*tab\AROD[[#This Row],[Wpływ]]</f>
        <v>15</v>
      </c>
      <c r="G12" s="5" t="str" cm="1">
        <f t="array" ref="G12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12" s="5" t="s">
        <v>1009</v>
      </c>
      <c r="I12" s="5" t="s">
        <v>1241</v>
      </c>
      <c r="J12" s="5">
        <v>2</v>
      </c>
      <c r="K12" s="5">
        <v>5</v>
      </c>
      <c r="L12" s="5">
        <f>tab\AROD[[#This Row],[Wpływ po zabezpieczeniach]]*tab\AROD[[#This Row],[Prawdopodobienstwo po zabezpieczeniach]]</f>
        <v>10</v>
      </c>
      <c r="M12" s="5" t="str" cm="1">
        <f t="array" ref="M12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Wysokie</v>
      </c>
      <c r="N12" s="5" t="s">
        <v>10</v>
      </c>
      <c r="O12" s="8"/>
    </row>
    <row r="13" spans="1:15" ht="72" x14ac:dyDescent="0.3">
      <c r="A13" s="5" t="s">
        <v>899</v>
      </c>
      <c r="B13" s="5" t="s">
        <v>626</v>
      </c>
      <c r="C13" s="1" t="str" cm="1">
        <f t="array" ref="C13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Komputer -&gt; ransomware -&gt; zaszyfrowanie danych/systemu = [D]</v>
      </c>
      <c r="D13" s="5">
        <v>3</v>
      </c>
      <c r="E13" s="5">
        <v>5</v>
      </c>
      <c r="F13" s="5">
        <f>tab\AROD[[#This Row],[Prawdopodobieństwo]]*tab\AROD[[#This Row],[Wpływ]]</f>
        <v>15</v>
      </c>
      <c r="G13" s="5" t="str" cm="1">
        <f t="array" ref="G13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13" s="5" t="s">
        <v>1009</v>
      </c>
      <c r="I13" s="5" t="s">
        <v>1242</v>
      </c>
      <c r="J13" s="5">
        <v>1</v>
      </c>
      <c r="K13" s="5">
        <v>4</v>
      </c>
      <c r="L13" s="5">
        <f>tab\AROD[[#This Row],[Wpływ po zabezpieczeniach]]*tab\AROD[[#This Row],[Prawdopodobienstwo po zabezpieczeniach]]</f>
        <v>4</v>
      </c>
      <c r="M13" s="5" t="str" cm="1">
        <f t="array" ref="M13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13" s="5" t="s">
        <v>9</v>
      </c>
      <c r="O13" s="8"/>
    </row>
    <row r="14" spans="1:15" x14ac:dyDescent="0.3">
      <c r="A14" s="5" t="s">
        <v>900</v>
      </c>
      <c r="B14" s="5" t="s">
        <v>627</v>
      </c>
      <c r="C14" s="1" t="str" cm="1">
        <f t="array" ref="C14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Komputer -&gt; nieaktualny OS/aplikacje -&gt; wykorzystanie podatności = [P+I+D]</v>
      </c>
      <c r="D14" s="5">
        <v>4</v>
      </c>
      <c r="E14" s="5">
        <v>5</v>
      </c>
      <c r="F14" s="5">
        <f>tab\AROD[[#This Row],[Prawdopodobieństwo]]*tab\AROD[[#This Row],[Wpływ]]</f>
        <v>20</v>
      </c>
      <c r="G14" s="5" t="str" cm="1">
        <f t="array" ref="G14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Bardzo wysokie</v>
      </c>
      <c r="H14" s="5" t="s">
        <v>1009</v>
      </c>
      <c r="I14" s="5" t="s">
        <v>1076</v>
      </c>
      <c r="J14" s="5">
        <v>1</v>
      </c>
      <c r="K14" s="5">
        <v>5</v>
      </c>
      <c r="L14" s="5">
        <f>tab\AROD[[#This Row],[Wpływ po zabezpieczeniach]]*tab\AROD[[#This Row],[Prawdopodobienstwo po zabezpieczeniach]]</f>
        <v>5</v>
      </c>
      <c r="M14" s="5" t="str" cm="1">
        <f t="array" ref="M14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14" s="5" t="s">
        <v>9</v>
      </c>
      <c r="O14" s="8"/>
    </row>
    <row r="15" spans="1:15" ht="43.2" x14ac:dyDescent="0.3">
      <c r="A15" s="5" t="s">
        <v>901</v>
      </c>
      <c r="B15" s="5" t="s">
        <v>628</v>
      </c>
      <c r="C15" s="1" t="str" cm="1">
        <f t="array" ref="C15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Komputer -&gt; kradzież komputera -&gt; utrata urządzenia = [P+D]</v>
      </c>
      <c r="D15" s="5">
        <v>2</v>
      </c>
      <c r="E15" s="5">
        <v>4</v>
      </c>
      <c r="F15" s="5">
        <f>tab\AROD[[#This Row],[Prawdopodobieństwo]]*tab\AROD[[#This Row],[Wpływ]]</f>
        <v>8</v>
      </c>
      <c r="G15" s="5" t="str" cm="1">
        <f t="array" ref="G15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Umiarkowane</v>
      </c>
      <c r="H15" s="5" t="s">
        <v>1009</v>
      </c>
      <c r="I15" s="5" t="s">
        <v>1243</v>
      </c>
      <c r="J15" s="5">
        <v>1</v>
      </c>
      <c r="K15" s="5">
        <v>2</v>
      </c>
      <c r="L15" s="5">
        <f>tab\AROD[[#This Row],[Wpływ po zabezpieczeniach]]*tab\AROD[[#This Row],[Prawdopodobienstwo po zabezpieczeniach]]</f>
        <v>2</v>
      </c>
      <c r="M15" s="5" t="str" cm="1">
        <f t="array" ref="M15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15" s="5" t="s">
        <v>9</v>
      </c>
      <c r="O15" s="8"/>
    </row>
    <row r="16" spans="1:15" ht="57.6" x14ac:dyDescent="0.3">
      <c r="A16" s="5" t="s">
        <v>902</v>
      </c>
      <c r="B16" s="5" t="s">
        <v>629</v>
      </c>
      <c r="C16" s="1" t="str" cm="1">
        <f t="array" ref="C16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System przetwarzania danych -&gt; przejęcie konta -&gt; nieuprawniony dostęp do dokumentacji = [P+I]</v>
      </c>
      <c r="D16" s="5">
        <v>3</v>
      </c>
      <c r="E16" s="5">
        <v>5</v>
      </c>
      <c r="F16" s="5">
        <f>tab\AROD[[#This Row],[Prawdopodobieństwo]]*tab\AROD[[#This Row],[Wpływ]]</f>
        <v>15</v>
      </c>
      <c r="G16" s="5" t="str" cm="1">
        <f t="array" ref="G16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16" s="5" t="s">
        <v>1009</v>
      </c>
      <c r="I16" s="5" t="s">
        <v>1244</v>
      </c>
      <c r="J16" s="5">
        <v>1</v>
      </c>
      <c r="K16" s="5">
        <v>5</v>
      </c>
      <c r="L16" s="5">
        <f>tab\AROD[[#This Row],[Wpływ po zabezpieczeniach]]*tab\AROD[[#This Row],[Prawdopodobienstwo po zabezpieczeniach]]</f>
        <v>5</v>
      </c>
      <c r="M16" s="5" t="str" cm="1">
        <f t="array" ref="M16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16" s="5" t="s">
        <v>9</v>
      </c>
      <c r="O16" s="8"/>
    </row>
    <row r="17" spans="1:15" ht="43.2" x14ac:dyDescent="0.3">
      <c r="A17" s="5" t="s">
        <v>903</v>
      </c>
      <c r="B17" s="5" t="s">
        <v>630</v>
      </c>
      <c r="C17" s="1" t="str" cm="1">
        <f t="array" ref="C17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System przetwarzania danych -&gt; błąd systemu -&gt; utrata lub modyfikacja danych = [I+D]</v>
      </c>
      <c r="D17" s="5">
        <v>2</v>
      </c>
      <c r="E17" s="5">
        <v>5</v>
      </c>
      <c r="F17" s="5">
        <f>tab\AROD[[#This Row],[Prawdopodobieństwo]]*tab\AROD[[#This Row],[Wpływ]]</f>
        <v>10</v>
      </c>
      <c r="G17" s="5" t="str" cm="1">
        <f t="array" ref="G17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17" s="5" t="s">
        <v>1009</v>
      </c>
      <c r="I17" s="5" t="s">
        <v>1245</v>
      </c>
      <c r="J17" s="5">
        <v>1</v>
      </c>
      <c r="K17" s="5">
        <v>4</v>
      </c>
      <c r="L17" s="5">
        <f>tab\AROD[[#This Row],[Wpływ po zabezpieczeniach]]*tab\AROD[[#This Row],[Prawdopodobienstwo po zabezpieczeniach]]</f>
        <v>4</v>
      </c>
      <c r="M17" s="5" t="str" cm="1">
        <f t="array" ref="M17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17" s="5" t="s">
        <v>9</v>
      </c>
      <c r="O17" s="8"/>
    </row>
    <row r="18" spans="1:15" ht="28.8" x14ac:dyDescent="0.3">
      <c r="A18" s="5" t="s">
        <v>904</v>
      </c>
      <c r="B18" s="5" t="s">
        <v>631</v>
      </c>
      <c r="C18" s="1" t="str" cm="1">
        <f t="array" ref="C18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System przetwarzania danych -&gt; awaria dostawcy -&gt; niedostępność systemu = [D]</v>
      </c>
      <c r="D18" s="5">
        <v>3</v>
      </c>
      <c r="E18" s="5">
        <v>4</v>
      </c>
      <c r="F18" s="5">
        <f>tab\AROD[[#This Row],[Prawdopodobieństwo]]*tab\AROD[[#This Row],[Wpływ]]</f>
        <v>12</v>
      </c>
      <c r="G18" s="5" t="str" cm="1">
        <f t="array" ref="G18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18" s="5" t="s">
        <v>1009</v>
      </c>
      <c r="I18" s="5" t="s">
        <v>1246</v>
      </c>
      <c r="J18" s="5">
        <v>2</v>
      </c>
      <c r="K18" s="5">
        <v>3</v>
      </c>
      <c r="L18" s="5">
        <f>tab\AROD[[#This Row],[Wpływ po zabezpieczeniach]]*tab\AROD[[#This Row],[Prawdopodobienstwo po zabezpieczeniach]]</f>
        <v>6</v>
      </c>
      <c r="M18" s="5" t="str" cm="1">
        <f t="array" ref="M18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18" s="5" t="s">
        <v>9</v>
      </c>
      <c r="O18" s="8"/>
    </row>
    <row r="19" spans="1:15" ht="43.2" x14ac:dyDescent="0.3">
      <c r="A19" s="5" t="s">
        <v>905</v>
      </c>
      <c r="B19" s="5" t="s">
        <v>632</v>
      </c>
      <c r="C19" s="1" t="str" cm="1">
        <f t="array" ref="C19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System przetwarzania danych -&gt; błędna konfiguracja uprawnień -&gt; dostęp osoby nieuprawnionej = [P+I]</v>
      </c>
      <c r="D19" s="5">
        <v>3</v>
      </c>
      <c r="E19" s="5">
        <v>5</v>
      </c>
      <c r="F19" s="5">
        <f>tab\AROD[[#This Row],[Prawdopodobieństwo]]*tab\AROD[[#This Row],[Wpływ]]</f>
        <v>15</v>
      </c>
      <c r="G19" s="5" t="str" cm="1">
        <f t="array" ref="G19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19" s="5" t="s">
        <v>1009</v>
      </c>
      <c r="I19" s="5" t="s">
        <v>1247</v>
      </c>
      <c r="J19" s="5">
        <v>1</v>
      </c>
      <c r="K19" s="5">
        <v>5</v>
      </c>
      <c r="L19" s="5">
        <f>tab\AROD[[#This Row],[Wpływ po zabezpieczeniach]]*tab\AROD[[#This Row],[Prawdopodobienstwo po zabezpieczeniach]]</f>
        <v>5</v>
      </c>
      <c r="M19" s="5" t="str" cm="1">
        <f t="array" ref="M19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19" s="5" t="s">
        <v>9</v>
      </c>
      <c r="O19" s="8"/>
    </row>
    <row r="20" spans="1:15" ht="57.6" x14ac:dyDescent="0.3">
      <c r="A20" s="5" t="s">
        <v>906</v>
      </c>
      <c r="B20" s="5" t="s">
        <v>633</v>
      </c>
      <c r="C20" s="1" t="str" cm="1">
        <f t="array" ref="C20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System przetwarzania danych -&gt; naruszenie bezpieczeństwa dostawcy -&gt; nieuprawniony dostęp / wyciek danych = [P]</v>
      </c>
      <c r="D20" s="5">
        <v>2</v>
      </c>
      <c r="E20" s="5">
        <v>5</v>
      </c>
      <c r="F20" s="5">
        <f>tab\AROD[[#This Row],[Prawdopodobieństwo]]*tab\AROD[[#This Row],[Wpływ]]</f>
        <v>10</v>
      </c>
      <c r="G20" s="5" t="str" cm="1">
        <f t="array" ref="G20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20" s="5" t="s">
        <v>1009</v>
      </c>
      <c r="I20" s="5" t="s">
        <v>1248</v>
      </c>
      <c r="J20" s="5">
        <v>1</v>
      </c>
      <c r="K20" s="5">
        <v>5</v>
      </c>
      <c r="L20" s="5">
        <f>tab\AROD[[#This Row],[Wpływ po zabezpieczeniach]]*tab\AROD[[#This Row],[Prawdopodobienstwo po zabezpieczeniach]]</f>
        <v>5</v>
      </c>
      <c r="M20" s="5" t="str" cm="1">
        <f t="array" ref="M20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20" s="5" t="s">
        <v>9</v>
      </c>
      <c r="O20" s="8"/>
    </row>
    <row r="21" spans="1:15" ht="28.8" x14ac:dyDescent="0.3">
      <c r="A21" s="5" t="s">
        <v>907</v>
      </c>
      <c r="B21" s="5" t="s">
        <v>634</v>
      </c>
      <c r="C21" s="1" t="str" cm="1">
        <f t="array" ref="C2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Internet / transmisja -&gt; MITM / niebezpieczna sieć -&gt; przechwycenie lub modyfikacja transmisji = [P+I]</v>
      </c>
      <c r="D21" s="5">
        <v>2</v>
      </c>
      <c r="E21" s="5">
        <v>5</v>
      </c>
      <c r="F21" s="5">
        <f>tab\AROD[[#This Row],[Prawdopodobieństwo]]*tab\AROD[[#This Row],[Wpływ]]</f>
        <v>10</v>
      </c>
      <c r="G21" s="5" t="str" cm="1">
        <f t="array" ref="G2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21" s="5" t="s">
        <v>1009</v>
      </c>
      <c r="I21" s="5" t="s">
        <v>1249</v>
      </c>
      <c r="J21" s="5">
        <v>1</v>
      </c>
      <c r="K21" s="5">
        <v>5</v>
      </c>
      <c r="L21" s="5">
        <f>tab\AROD[[#This Row],[Wpływ po zabezpieczeniach]]*tab\AROD[[#This Row],[Prawdopodobienstwo po zabezpieczeniach]]</f>
        <v>5</v>
      </c>
      <c r="M21" s="5" t="str" cm="1">
        <f t="array" ref="M2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21" s="5" t="s">
        <v>9</v>
      </c>
      <c r="O21" s="8"/>
    </row>
    <row r="22" spans="1:15" ht="57.6" x14ac:dyDescent="0.3">
      <c r="A22" s="5" t="s">
        <v>908</v>
      </c>
      <c r="B22" s="5" t="s">
        <v>635</v>
      </c>
      <c r="C22" s="1" t="str" cm="1">
        <f t="array" ref="C22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Internet / transmisja -&gt; phishing / DNS spoofing -&gt; przekierowanie do fałszywego systemu = [P+I]</v>
      </c>
      <c r="D22" s="5">
        <v>3</v>
      </c>
      <c r="E22" s="5">
        <v>5</v>
      </c>
      <c r="F22" s="5">
        <f>tab\AROD[[#This Row],[Prawdopodobieństwo]]*tab\AROD[[#This Row],[Wpływ]]</f>
        <v>15</v>
      </c>
      <c r="G22" s="5" t="str" cm="1">
        <f t="array" ref="G22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22" s="5" t="s">
        <v>1009</v>
      </c>
      <c r="I22" s="5" t="s">
        <v>1250</v>
      </c>
      <c r="J22" s="5">
        <v>1</v>
      </c>
      <c r="K22" s="5">
        <v>5</v>
      </c>
      <c r="L22" s="5">
        <f>tab\AROD[[#This Row],[Wpływ po zabezpieczeniach]]*tab\AROD[[#This Row],[Prawdopodobienstwo po zabezpieczeniach]]</f>
        <v>5</v>
      </c>
      <c r="M22" s="5" t="str" cm="1">
        <f t="array" ref="M22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22" s="5" t="s">
        <v>9</v>
      </c>
      <c r="O22" s="8"/>
    </row>
    <row r="23" spans="1:15" ht="28.8" x14ac:dyDescent="0.3">
      <c r="A23" s="5" t="s">
        <v>909</v>
      </c>
      <c r="B23" s="5" t="s">
        <v>636</v>
      </c>
      <c r="C23" s="1" t="str" cm="1">
        <f t="array" ref="C23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Internet / transmisja -&gt; awaria Internetu -&gt; przerwanie komunikacji = [D]</v>
      </c>
      <c r="D23" s="5">
        <v>3</v>
      </c>
      <c r="E23" s="5">
        <v>3</v>
      </c>
      <c r="F23" s="5">
        <f>tab\AROD[[#This Row],[Prawdopodobieństwo]]*tab\AROD[[#This Row],[Wpływ]]</f>
        <v>9</v>
      </c>
      <c r="G23" s="5" t="str" cm="1">
        <f t="array" ref="G23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Umiarkowane</v>
      </c>
      <c r="H23" s="5" t="s">
        <v>1009</v>
      </c>
      <c r="I23" s="5" t="s">
        <v>1251</v>
      </c>
      <c r="J23" s="5">
        <v>1</v>
      </c>
      <c r="K23" s="5">
        <v>2</v>
      </c>
      <c r="L23" s="5">
        <f>tab\AROD[[#This Row],[Wpływ po zabezpieczeniach]]*tab\AROD[[#This Row],[Prawdopodobienstwo po zabezpieczeniach]]</f>
        <v>2</v>
      </c>
      <c r="M23" s="5" t="str" cm="1">
        <f t="array" ref="M23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23" s="5" t="s">
        <v>9</v>
      </c>
      <c r="O23" s="8"/>
    </row>
    <row r="24" spans="1:15" ht="43.2" x14ac:dyDescent="0.3">
      <c r="A24" s="5" t="s">
        <v>910</v>
      </c>
      <c r="B24" s="5" t="s">
        <v>637</v>
      </c>
      <c r="C24" s="1" t="str" cm="1">
        <f t="array" ref="C24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E-mail / komunikacja -&gt; wysłanie do złego adresata -&gt; nieuprawnione udostępnienie danych = [P]</v>
      </c>
      <c r="D24" s="5">
        <v>3</v>
      </c>
      <c r="E24" s="5">
        <v>5</v>
      </c>
      <c r="F24" s="5">
        <f>tab\AROD[[#This Row],[Prawdopodobieństwo]]*tab\AROD[[#This Row],[Wpływ]]</f>
        <v>15</v>
      </c>
      <c r="G24" s="5" t="str" cm="1">
        <f t="array" ref="G24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24" s="5" t="s">
        <v>1009</v>
      </c>
      <c r="I24" s="5" t="s">
        <v>1252</v>
      </c>
      <c r="J24" s="5">
        <v>2</v>
      </c>
      <c r="K24" s="5">
        <v>4</v>
      </c>
      <c r="L24" s="5">
        <f>tab\AROD[[#This Row],[Wpływ po zabezpieczeniach]]*tab\AROD[[#This Row],[Prawdopodobienstwo po zabezpieczeniach]]</f>
        <v>8</v>
      </c>
      <c r="M24" s="5" t="str" cm="1">
        <f t="array" ref="M24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24" s="5" t="s">
        <v>9</v>
      </c>
      <c r="O24" s="8"/>
    </row>
    <row r="25" spans="1:15" ht="43.2" x14ac:dyDescent="0.3">
      <c r="A25" s="5" t="s">
        <v>911</v>
      </c>
      <c r="B25" s="5" t="s">
        <v>638</v>
      </c>
      <c r="C25" s="1" t="str" cm="1">
        <f t="array" ref="C25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E-mail / komunikacja -&gt; niezaszyfrowany załącznik -&gt; odczyt dokumentacji przez osobę nieuprawnioną = [P]</v>
      </c>
      <c r="D25" s="5">
        <v>3</v>
      </c>
      <c r="E25" s="5">
        <v>5</v>
      </c>
      <c r="F25" s="5">
        <f>tab\AROD[[#This Row],[Prawdopodobieństwo]]*tab\AROD[[#This Row],[Wpływ]]</f>
        <v>15</v>
      </c>
      <c r="G25" s="5" t="str" cm="1">
        <f t="array" ref="G25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25" s="5" t="s">
        <v>1009</v>
      </c>
      <c r="I25" s="5" t="s">
        <v>1253</v>
      </c>
      <c r="J25" s="5">
        <v>1</v>
      </c>
      <c r="K25" s="5">
        <v>4</v>
      </c>
      <c r="L25" s="5">
        <f>tab\AROD[[#This Row],[Wpływ po zabezpieczeniach]]*tab\AROD[[#This Row],[Prawdopodobienstwo po zabezpieczeniach]]</f>
        <v>4</v>
      </c>
      <c r="M25" s="5" t="str" cm="1">
        <f t="array" ref="M25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25" s="5" t="s">
        <v>9</v>
      </c>
      <c r="O25" s="8"/>
    </row>
    <row r="26" spans="1:15" ht="43.2" x14ac:dyDescent="0.3">
      <c r="A26" s="5" t="s">
        <v>912</v>
      </c>
      <c r="B26" s="5" t="s">
        <v>639</v>
      </c>
      <c r="C26" s="1" t="str" cm="1">
        <f t="array" ref="C26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E-mail / komunikacja -&gt; przejęcie skrzynki -&gt; nieuprawniony dostęp do korespondencji = [P+I]</v>
      </c>
      <c r="D26" s="5">
        <v>3</v>
      </c>
      <c r="E26" s="5">
        <v>5</v>
      </c>
      <c r="F26" s="5">
        <f>tab\AROD[[#This Row],[Prawdopodobieństwo]]*tab\AROD[[#This Row],[Wpływ]]</f>
        <v>15</v>
      </c>
      <c r="G26" s="5" t="str" cm="1">
        <f t="array" ref="G26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26" s="5" t="s">
        <v>1009</v>
      </c>
      <c r="I26" s="5" t="s">
        <v>1254</v>
      </c>
      <c r="J26" s="5">
        <v>1</v>
      </c>
      <c r="K26" s="5">
        <v>5</v>
      </c>
      <c r="L26" s="5">
        <f>tab\AROD[[#This Row],[Wpływ po zabezpieczeniach]]*tab\AROD[[#This Row],[Prawdopodobienstwo po zabezpieczeniach]]</f>
        <v>5</v>
      </c>
      <c r="M26" s="5" t="str" cm="1">
        <f t="array" ref="M26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26" s="5" t="s">
        <v>9</v>
      </c>
      <c r="O26" s="8"/>
    </row>
    <row r="27" spans="1:15" ht="43.2" x14ac:dyDescent="0.3">
      <c r="A27" s="5" t="s">
        <v>913</v>
      </c>
      <c r="B27" s="5" t="s">
        <v>640</v>
      </c>
      <c r="C27" s="1" t="str" cm="1">
        <f t="array" ref="C27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Dokumenty papierowe -&gt; pozostawienie dokumentu bez zabezpieczenia -&gt; dostęp osoby nieuprawnionej = [P]</v>
      </c>
      <c r="D27" s="5">
        <v>3</v>
      </c>
      <c r="E27" s="5">
        <v>4</v>
      </c>
      <c r="F27" s="5">
        <f>tab\AROD[[#This Row],[Prawdopodobieństwo]]*tab\AROD[[#This Row],[Wpływ]]</f>
        <v>12</v>
      </c>
      <c r="G27" s="5" t="str" cm="1">
        <f t="array" ref="G27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27" s="5" t="s">
        <v>1009</v>
      </c>
      <c r="I27" s="5" t="s">
        <v>1255</v>
      </c>
      <c r="J27" s="5">
        <v>1</v>
      </c>
      <c r="K27" s="5">
        <v>4</v>
      </c>
      <c r="L27" s="5">
        <f>tab\AROD[[#This Row],[Wpływ po zabezpieczeniach]]*tab\AROD[[#This Row],[Prawdopodobienstwo po zabezpieczeniach]]</f>
        <v>4</v>
      </c>
      <c r="M27" s="5" t="str" cm="1">
        <f t="array" ref="M27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27" s="5" t="s">
        <v>9</v>
      </c>
      <c r="O27" s="8"/>
    </row>
    <row r="28" spans="1:15" ht="28.8" x14ac:dyDescent="0.3">
      <c r="A28" s="5" t="s">
        <v>914</v>
      </c>
      <c r="B28" s="5" t="s">
        <v>641</v>
      </c>
      <c r="C28" s="1" t="str" cm="1">
        <f t="array" ref="C28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Dokumenty papierowe -&gt; wyrzucenie bez zniszczenia -&gt; dostęp osoby nieuprawnionej do dokumentu = [P]</v>
      </c>
      <c r="D28" s="5">
        <v>3</v>
      </c>
      <c r="E28" s="5">
        <v>5</v>
      </c>
      <c r="F28" s="5">
        <f>tab\AROD[[#This Row],[Prawdopodobieństwo]]*tab\AROD[[#This Row],[Wpływ]]</f>
        <v>15</v>
      </c>
      <c r="G28" s="5" t="str" cm="1">
        <f t="array" ref="G28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28" s="5" t="s">
        <v>1009</v>
      </c>
      <c r="I28" s="5" t="s">
        <v>1145</v>
      </c>
      <c r="J28" s="5">
        <v>1</v>
      </c>
      <c r="K28" s="5">
        <v>5</v>
      </c>
      <c r="L28" s="5">
        <f>tab\AROD[[#This Row],[Wpływ po zabezpieczeniach]]*tab\AROD[[#This Row],[Prawdopodobienstwo po zabezpieczeniach]]</f>
        <v>5</v>
      </c>
      <c r="M28" s="5" t="str" cm="1">
        <f t="array" ref="M28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28" s="5" t="s">
        <v>9</v>
      </c>
      <c r="O28" s="8"/>
    </row>
    <row r="29" spans="1:15" ht="72" x14ac:dyDescent="0.3">
      <c r="A29" s="5" t="s">
        <v>915</v>
      </c>
      <c r="B29" s="5" t="s">
        <v>642</v>
      </c>
      <c r="C29" s="1" t="str" cm="1">
        <f t="array" ref="C29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Dokumenty papierowe -&gt; kradzież / zgubienie -&gt; utrata dokumentacji = [P+I]</v>
      </c>
      <c r="D29" s="5">
        <v>2</v>
      </c>
      <c r="E29" s="5">
        <v>5</v>
      </c>
      <c r="F29" s="5">
        <f>tab\AROD[[#This Row],[Prawdopodobieństwo]]*tab\AROD[[#This Row],[Wpływ]]</f>
        <v>10</v>
      </c>
      <c r="G29" s="5" t="str" cm="1">
        <f t="array" ref="G29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29" s="5" t="s">
        <v>1009</v>
      </c>
      <c r="I29" s="5" t="s">
        <v>1256</v>
      </c>
      <c r="J29" s="5">
        <v>1</v>
      </c>
      <c r="K29" s="5">
        <v>4</v>
      </c>
      <c r="L29" s="5">
        <f>tab\AROD[[#This Row],[Wpływ po zabezpieczeniach]]*tab\AROD[[#This Row],[Prawdopodobienstwo po zabezpieczeniach]]</f>
        <v>4</v>
      </c>
      <c r="M29" s="5" t="str" cm="1">
        <f t="array" ref="M29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29" s="5" t="s">
        <v>9</v>
      </c>
      <c r="O29" s="8"/>
    </row>
    <row r="30" spans="1:15" ht="43.2" x14ac:dyDescent="0.3">
      <c r="A30" s="5" t="s">
        <v>916</v>
      </c>
      <c r="B30" s="5" t="s">
        <v>643</v>
      </c>
      <c r="C30" s="1" t="str" cm="1">
        <f t="array" ref="C30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Nośniki -&gt; zgubienie pendrive'a/dysku -&gt; utrata nośnika = [P+D]</v>
      </c>
      <c r="D30" s="5">
        <v>3</v>
      </c>
      <c r="E30" s="5">
        <v>5</v>
      </c>
      <c r="F30" s="5">
        <f>tab\AROD[[#This Row],[Prawdopodobieństwo]]*tab\AROD[[#This Row],[Wpływ]]</f>
        <v>15</v>
      </c>
      <c r="G30" s="5" t="str" cm="1">
        <f t="array" ref="G30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30" s="5" t="s">
        <v>1009</v>
      </c>
      <c r="I30" s="5" t="s">
        <v>1257</v>
      </c>
      <c r="J30" s="5">
        <v>1</v>
      </c>
      <c r="K30" s="5">
        <v>3</v>
      </c>
      <c r="L30" s="5">
        <f>tab\AROD[[#This Row],[Wpływ po zabezpieczeniach]]*tab\AROD[[#This Row],[Prawdopodobienstwo po zabezpieczeniach]]</f>
        <v>3</v>
      </c>
      <c r="M30" s="5" t="str" cm="1">
        <f t="array" ref="M30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30" s="5" t="s">
        <v>9</v>
      </c>
      <c r="O30" s="8"/>
    </row>
    <row r="31" spans="1:15" ht="28.8" x14ac:dyDescent="0.3">
      <c r="A31" s="5" t="s">
        <v>917</v>
      </c>
      <c r="B31" s="5" t="s">
        <v>644</v>
      </c>
      <c r="C31" s="1" t="str" cm="1">
        <f t="array" ref="C3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Nośniki -&gt; uszkodzenie nośnika -&gt; brak możliwości odczytu = [D]</v>
      </c>
      <c r="D31" s="5">
        <v>3</v>
      </c>
      <c r="E31" s="5">
        <v>4</v>
      </c>
      <c r="F31" s="5">
        <f>tab\AROD[[#This Row],[Prawdopodobieństwo]]*tab\AROD[[#This Row],[Wpływ]]</f>
        <v>12</v>
      </c>
      <c r="G31" s="5" t="str" cm="1">
        <f t="array" ref="G3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31" s="5" t="s">
        <v>1009</v>
      </c>
      <c r="I31" s="5" t="s">
        <v>1258</v>
      </c>
      <c r="J31" s="5">
        <v>1</v>
      </c>
      <c r="K31" s="5">
        <v>2</v>
      </c>
      <c r="L31" s="5">
        <f>tab\AROD[[#This Row],[Wpływ po zabezpieczeniach]]*tab\AROD[[#This Row],[Prawdopodobienstwo po zabezpieczeniach]]</f>
        <v>2</v>
      </c>
      <c r="M31" s="5" t="str" cm="1">
        <f t="array" ref="M3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31" s="5" t="s">
        <v>9</v>
      </c>
      <c r="O31" s="8"/>
    </row>
    <row r="32" spans="1:15" ht="57.6" x14ac:dyDescent="0.3">
      <c r="A32" s="5" t="s">
        <v>918</v>
      </c>
      <c r="B32" s="5" t="s">
        <v>645</v>
      </c>
      <c r="C32" s="1" t="str" cm="1">
        <f t="array" ref="C32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Personel -&gt; pomyłka -&gt; błędne przetwarzanie danych = [P+I]</v>
      </c>
      <c r="D32" s="5">
        <v>4</v>
      </c>
      <c r="E32" s="5">
        <v>4</v>
      </c>
      <c r="F32" s="5">
        <f>tab\AROD[[#This Row],[Prawdopodobieństwo]]*tab\AROD[[#This Row],[Wpływ]]</f>
        <v>16</v>
      </c>
      <c r="G32" s="5" t="str" cm="1">
        <f t="array" ref="G32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32" s="5" t="s">
        <v>1009</v>
      </c>
      <c r="I32" s="5" t="s">
        <v>1259</v>
      </c>
      <c r="J32" s="5">
        <v>2</v>
      </c>
      <c r="K32" s="5">
        <v>3</v>
      </c>
      <c r="L32" s="5">
        <f>tab\AROD[[#This Row],[Wpływ po zabezpieczeniach]]*tab\AROD[[#This Row],[Prawdopodobienstwo po zabezpieczeniach]]</f>
        <v>6</v>
      </c>
      <c r="M32" s="5" t="str" cm="1">
        <f t="array" ref="M32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32" s="5" t="s">
        <v>9</v>
      </c>
      <c r="O32" s="8"/>
    </row>
    <row r="33" spans="1:15" ht="28.8" x14ac:dyDescent="0.3">
      <c r="A33" s="5" t="s">
        <v>919</v>
      </c>
      <c r="B33" s="5" t="s">
        <v>646</v>
      </c>
      <c r="C33" s="1" t="str" cm="1">
        <f t="array" ref="C33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Personel -&gt; nadmierne uprawnienia -&gt; nieuprawniony dostęp do danych = [P+I]</v>
      </c>
      <c r="D33" s="5">
        <v>3</v>
      </c>
      <c r="E33" s="5">
        <v>5</v>
      </c>
      <c r="F33" s="5">
        <f>tab\AROD[[#This Row],[Prawdopodobieństwo]]*tab\AROD[[#This Row],[Wpływ]]</f>
        <v>15</v>
      </c>
      <c r="G33" s="5" t="str" cm="1">
        <f t="array" ref="G33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33" s="5" t="s">
        <v>1009</v>
      </c>
      <c r="I33" s="5" t="s">
        <v>1260</v>
      </c>
      <c r="J33" s="5">
        <v>1</v>
      </c>
      <c r="K33" s="5">
        <v>5</v>
      </c>
      <c r="L33" s="5">
        <f>tab\AROD[[#This Row],[Wpływ po zabezpieczeniach]]*tab\AROD[[#This Row],[Prawdopodobienstwo po zabezpieczeniach]]</f>
        <v>5</v>
      </c>
      <c r="M33" s="5" t="str" cm="1">
        <f t="array" ref="M33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33" s="5" t="s">
        <v>9</v>
      </c>
      <c r="O33" s="8"/>
    </row>
    <row r="34" spans="1:15" ht="43.2" x14ac:dyDescent="0.3">
      <c r="A34" s="5" t="s">
        <v>920</v>
      </c>
      <c r="B34" s="5" t="s">
        <v>647</v>
      </c>
      <c r="C34" s="1" t="str" cm="1">
        <f t="array" ref="C34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Personel -&gt; działanie celowe -&gt; kradzież / nieuprawnione pozyskanie danych = [P]</v>
      </c>
      <c r="D34" s="5">
        <v>2</v>
      </c>
      <c r="E34" s="5">
        <v>5</v>
      </c>
      <c r="F34" s="5">
        <f>tab\AROD[[#This Row],[Prawdopodobieństwo]]*tab\AROD[[#This Row],[Wpływ]]</f>
        <v>10</v>
      </c>
      <c r="G34" s="5" t="str" cm="1">
        <f t="array" ref="G34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34" s="5" t="s">
        <v>1009</v>
      </c>
      <c r="I34" s="5" t="s">
        <v>1261</v>
      </c>
      <c r="J34" s="5">
        <v>1</v>
      </c>
      <c r="K34" s="5">
        <v>5</v>
      </c>
      <c r="L34" s="5">
        <f>tab\AROD[[#This Row],[Wpływ po zabezpieczeniach]]*tab\AROD[[#This Row],[Prawdopodobienstwo po zabezpieczeniach]]</f>
        <v>5</v>
      </c>
      <c r="M34" s="5" t="str" cm="1">
        <f t="array" ref="M34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34" s="5" t="s">
        <v>9</v>
      </c>
      <c r="O34" s="8"/>
    </row>
    <row r="35" spans="1:15" ht="57.6" x14ac:dyDescent="0.3">
      <c r="A35" s="5" t="s">
        <v>921</v>
      </c>
      <c r="B35" s="5" t="s">
        <v>648</v>
      </c>
      <c r="C35" s="1" t="str" cm="1">
        <f t="array" ref="C35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Pomieszczenie -&gt; obecność osoby postronnej -&gt; nieuprawniony dostęp do dokumentów / komputera = [P+I]</v>
      </c>
      <c r="D35" s="5">
        <v>3</v>
      </c>
      <c r="E35" s="5">
        <v>4</v>
      </c>
      <c r="F35" s="5">
        <f>tab\AROD[[#This Row],[Prawdopodobieństwo]]*tab\AROD[[#This Row],[Wpływ]]</f>
        <v>12</v>
      </c>
      <c r="G35" s="5" t="str" cm="1">
        <f t="array" ref="G35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35" s="5" t="s">
        <v>1009</v>
      </c>
      <c r="I35" s="5" t="s">
        <v>1262</v>
      </c>
      <c r="J35" s="5">
        <v>1</v>
      </c>
      <c r="K35" s="5">
        <v>4</v>
      </c>
      <c r="L35" s="5">
        <f>tab\AROD[[#This Row],[Wpływ po zabezpieczeniach]]*tab\AROD[[#This Row],[Prawdopodobienstwo po zabezpieczeniach]]</f>
        <v>4</v>
      </c>
      <c r="M35" s="5" t="str" cm="1">
        <f t="array" ref="M35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35" s="5" t="s">
        <v>9</v>
      </c>
      <c r="O35" s="8"/>
    </row>
    <row r="36" spans="1:15" ht="43.2" x14ac:dyDescent="0.3">
      <c r="A36" s="5" t="s">
        <v>922</v>
      </c>
      <c r="B36" s="5" t="s">
        <v>649</v>
      </c>
      <c r="C36" s="1" t="str" cm="1">
        <f t="array" ref="C36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Pomieszczenie -&gt; kradzież -&gt; utrata sprzętu / dokumentacji = [P+I]</v>
      </c>
      <c r="D36" s="5">
        <v>2</v>
      </c>
      <c r="E36" s="5">
        <v>5</v>
      </c>
      <c r="F36" s="5">
        <f>tab\AROD[[#This Row],[Prawdopodobieństwo]]*tab\AROD[[#This Row],[Wpływ]]</f>
        <v>10</v>
      </c>
      <c r="G36" s="5" t="str" cm="1">
        <f t="array" ref="G36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36" s="5" t="s">
        <v>1009</v>
      </c>
      <c r="I36" s="5" t="s">
        <v>1263</v>
      </c>
      <c r="J36" s="5">
        <v>1</v>
      </c>
      <c r="K36" s="5">
        <v>3</v>
      </c>
      <c r="L36" s="5">
        <f>tab\AROD[[#This Row],[Wpływ po zabezpieczeniach]]*tab\AROD[[#This Row],[Prawdopodobienstwo po zabezpieczeniach]]</f>
        <v>3</v>
      </c>
      <c r="M36" s="5" t="str" cm="1">
        <f t="array" ref="M36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36" s="5" t="s">
        <v>9</v>
      </c>
      <c r="O36" s="8"/>
    </row>
    <row r="37" spans="1:15" ht="57.6" x14ac:dyDescent="0.3">
      <c r="A37" s="5" t="s">
        <v>923</v>
      </c>
      <c r="B37" s="5" t="s">
        <v>650</v>
      </c>
      <c r="C37" s="1" t="str" cm="1">
        <f t="array" ref="C37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Pomieszczenie -&gt; pożar / zalanie -&gt; zniszczenie sprzętu lub dokumentacji = [D]</v>
      </c>
      <c r="D37" s="5">
        <v>2</v>
      </c>
      <c r="E37" s="5">
        <v>5</v>
      </c>
      <c r="F37" s="5">
        <f>tab\AROD[[#This Row],[Prawdopodobieństwo]]*tab\AROD[[#This Row],[Wpływ]]</f>
        <v>10</v>
      </c>
      <c r="G37" s="5" t="str" cm="1">
        <f t="array" ref="G37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37" s="5" t="s">
        <v>1009</v>
      </c>
      <c r="I37" s="5" t="s">
        <v>1264</v>
      </c>
      <c r="J37" s="5">
        <v>1</v>
      </c>
      <c r="K37" s="5">
        <v>3</v>
      </c>
      <c r="L37" s="5">
        <f>tab\AROD[[#This Row],[Wpływ po zabezpieczeniach]]*tab\AROD[[#This Row],[Prawdopodobienstwo po zabezpieczeniach]]</f>
        <v>3</v>
      </c>
      <c r="M37" s="5" t="str" cm="1">
        <f t="array" ref="M37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37" s="5" t="s">
        <v>9</v>
      </c>
      <c r="O37" s="8"/>
    </row>
    <row r="38" spans="1:15" ht="43.2" x14ac:dyDescent="0.3">
      <c r="A38" s="5" t="s">
        <v>924</v>
      </c>
      <c r="B38" s="5" t="s">
        <v>651</v>
      </c>
      <c r="C38" s="1" t="str" cm="1">
        <f t="array" ref="C38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Backup / archiwum -&gt; uszkodzona kopia -&gt; nieudane odtworzenie danych = [D]</v>
      </c>
      <c r="D38" s="5">
        <v>2</v>
      </c>
      <c r="E38" s="5">
        <v>5</v>
      </c>
      <c r="F38" s="5">
        <f>tab\AROD[[#This Row],[Prawdopodobieństwo]]*tab\AROD[[#This Row],[Wpływ]]</f>
        <v>10</v>
      </c>
      <c r="G38" s="5" t="str" cm="1">
        <f t="array" ref="G38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38" s="5" t="s">
        <v>1009</v>
      </c>
      <c r="I38" s="5" t="s">
        <v>1265</v>
      </c>
      <c r="J38" s="5">
        <v>1</v>
      </c>
      <c r="K38" s="5">
        <v>3</v>
      </c>
      <c r="L38" s="5">
        <f>tab\AROD[[#This Row],[Wpływ po zabezpieczeniach]]*tab\AROD[[#This Row],[Prawdopodobienstwo po zabezpieczeniach]]</f>
        <v>3</v>
      </c>
      <c r="M38" s="5" t="str" cm="1">
        <f t="array" ref="M38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38" s="5" t="s">
        <v>9</v>
      </c>
      <c r="O38" s="8"/>
    </row>
    <row r="39" spans="1:15" ht="43.2" x14ac:dyDescent="0.3">
      <c r="A39" s="5" t="s">
        <v>925</v>
      </c>
      <c r="B39" s="5" t="s">
        <v>652</v>
      </c>
      <c r="C39" s="1" t="str" cm="1">
        <f t="array" ref="C39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Backup / archiwum -&gt; kopia dostępna z tego samego systemu -&gt; zaszyfrowanie / zniszczenie kopii wraz z danymi źródłowymi = [D]</v>
      </c>
      <c r="D39" s="5">
        <v>3</v>
      </c>
      <c r="E39" s="5">
        <v>5</v>
      </c>
      <c r="F39" s="5">
        <f>tab\AROD[[#This Row],[Prawdopodobieństwo]]*tab\AROD[[#This Row],[Wpływ]]</f>
        <v>15</v>
      </c>
      <c r="G39" s="5" t="str" cm="1">
        <f t="array" ref="G39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39" s="5" t="s">
        <v>1009</v>
      </c>
      <c r="I39" s="5" t="s">
        <v>1266</v>
      </c>
      <c r="J39" s="5">
        <v>1</v>
      </c>
      <c r="K39" s="5">
        <v>3</v>
      </c>
      <c r="L39" s="5">
        <f>tab\AROD[[#This Row],[Wpływ po zabezpieczeniach]]*tab\AROD[[#This Row],[Prawdopodobienstwo po zabezpieczeniach]]</f>
        <v>3</v>
      </c>
      <c r="M39" s="5" t="str" cm="1">
        <f t="array" ref="M39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39" s="5" t="s">
        <v>9</v>
      </c>
      <c r="O39" s="8"/>
    </row>
    <row r="40" spans="1:15" ht="28.8" x14ac:dyDescent="0.3">
      <c r="A40" s="5" t="s">
        <v>926</v>
      </c>
      <c r="B40" s="5" t="s">
        <v>653</v>
      </c>
      <c r="C40" s="1" t="str" cm="1">
        <f t="array" ref="C40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Backup / archiwum -&gt; nieweryfikowane kopie -&gt; nieskuteczne odtworzenie danych = [D]</v>
      </c>
      <c r="D40" s="5">
        <v>3</v>
      </c>
      <c r="E40" s="5">
        <v>5</v>
      </c>
      <c r="F40" s="5">
        <f>tab\AROD[[#This Row],[Prawdopodobieństwo]]*tab\AROD[[#This Row],[Wpływ]]</f>
        <v>15</v>
      </c>
      <c r="G40" s="5" t="str" cm="1">
        <f t="array" ref="G40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40" s="5" t="s">
        <v>1009</v>
      </c>
      <c r="I40" s="5" t="s">
        <v>1267</v>
      </c>
      <c r="J40" s="5">
        <v>1</v>
      </c>
      <c r="K40" s="5">
        <v>3</v>
      </c>
      <c r="L40" s="5">
        <f>tab\AROD[[#This Row],[Wpływ po zabezpieczeniach]]*tab\AROD[[#This Row],[Prawdopodobienstwo po zabezpieczeniach]]</f>
        <v>3</v>
      </c>
      <c r="M40" s="5" t="str" cm="1">
        <f t="array" ref="M40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40" s="5" t="s">
        <v>9</v>
      </c>
      <c r="O40" s="8"/>
    </row>
    <row r="41" spans="1:15" ht="28.8" x14ac:dyDescent="0.3">
      <c r="A41" s="5" t="s">
        <v>927</v>
      </c>
      <c r="B41" s="5" t="s">
        <v>654</v>
      </c>
      <c r="C41" s="1" t="str" cm="1">
        <f t="array" ref="C4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Udostępnianie dokumentacji -&gt; błędna identyfikacja pacjenta / odbiorcy -&gt; wydanie dokumentacji niewłaściwej osobie = [P]</v>
      </c>
      <c r="D41" s="5">
        <v>3</v>
      </c>
      <c r="E41" s="5">
        <v>5</v>
      </c>
      <c r="F41" s="5">
        <f>tab\AROD[[#This Row],[Prawdopodobieństwo]]*tab\AROD[[#This Row],[Wpływ]]</f>
        <v>15</v>
      </c>
      <c r="G41" s="5" t="str" cm="1">
        <f t="array" ref="G4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41" s="5" t="s">
        <v>1009</v>
      </c>
      <c r="I41" s="5" t="s">
        <v>1268</v>
      </c>
      <c r="J41" s="5">
        <v>1</v>
      </c>
      <c r="K41" s="5">
        <v>5</v>
      </c>
      <c r="L41" s="5">
        <f>tab\AROD[[#This Row],[Wpływ po zabezpieczeniach]]*tab\AROD[[#This Row],[Prawdopodobienstwo po zabezpieczeniach]]</f>
        <v>5</v>
      </c>
      <c r="M41" s="5" t="str" cm="1">
        <f t="array" ref="M4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41" s="5" t="s">
        <v>9</v>
      </c>
      <c r="O41" s="8"/>
    </row>
    <row r="42" spans="1:15" ht="28.8" x14ac:dyDescent="0.3">
      <c r="A42" s="5" t="s">
        <v>928</v>
      </c>
      <c r="B42" s="5" t="s">
        <v>655</v>
      </c>
      <c r="C42" s="1" t="str" cm="1">
        <f t="array" ref="C42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Udostępnianie dokumentacji -&gt; błędny adres / e-mail -&gt; przekazanie dokumentacji niewłaściwemu odbiorcy = [P]</v>
      </c>
      <c r="D42" s="5">
        <v>3</v>
      </c>
      <c r="E42" s="5">
        <v>5</v>
      </c>
      <c r="F42" s="5">
        <f>tab\AROD[[#This Row],[Prawdopodobieństwo]]*tab\AROD[[#This Row],[Wpływ]]</f>
        <v>15</v>
      </c>
      <c r="G42" s="5" t="str" cm="1">
        <f t="array" ref="G42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42" s="5" t="s">
        <v>1009</v>
      </c>
      <c r="I42" s="5" t="s">
        <v>1269</v>
      </c>
      <c r="J42" s="5">
        <v>1</v>
      </c>
      <c r="K42" s="5">
        <v>5</v>
      </c>
      <c r="L42" s="5">
        <f>tab\AROD[[#This Row],[Wpływ po zabezpieczeniach]]*tab\AROD[[#This Row],[Prawdopodobienstwo po zabezpieczeniach]]</f>
        <v>5</v>
      </c>
      <c r="M42" s="5" t="str" cm="1">
        <f t="array" ref="M42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42" s="5" t="s">
        <v>9</v>
      </c>
      <c r="O42" s="8"/>
    </row>
    <row r="43" spans="1:15" ht="28.8" x14ac:dyDescent="0.3">
      <c r="A43" s="5" t="s">
        <v>929</v>
      </c>
      <c r="B43" s="5" t="s">
        <v>656</v>
      </c>
      <c r="C43" s="1" t="str" cm="1">
        <f t="array" ref="C43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Udostępnianie dokumentacji -&gt; niewłaściwe określenie zakresu -&gt; udostępnienie nadmiernego zakresu danych = [P]</v>
      </c>
      <c r="D43" s="5">
        <v>3</v>
      </c>
      <c r="E43" s="5">
        <v>4</v>
      </c>
      <c r="F43" s="5">
        <f>tab\AROD[[#This Row],[Prawdopodobieństwo]]*tab\AROD[[#This Row],[Wpływ]]</f>
        <v>12</v>
      </c>
      <c r="G43" s="5" t="str" cm="1">
        <f t="array" ref="G43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43" s="5" t="s">
        <v>1009</v>
      </c>
      <c r="I43" s="5" t="s">
        <v>1270</v>
      </c>
      <c r="J43" s="5">
        <v>1</v>
      </c>
      <c r="K43" s="5">
        <v>4</v>
      </c>
      <c r="L43" s="5">
        <f>tab\AROD[[#This Row],[Wpływ po zabezpieczeniach]]*tab\AROD[[#This Row],[Prawdopodobienstwo po zabezpieczeniach]]</f>
        <v>4</v>
      </c>
      <c r="M43" s="5" t="str" cm="1">
        <f t="array" ref="M43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43" s="5" t="s">
        <v>9</v>
      </c>
      <c r="O43" s="8"/>
    </row>
    <row r="44" spans="1:15" ht="28.8" x14ac:dyDescent="0.3">
      <c r="A44" s="5" t="s">
        <v>930</v>
      </c>
      <c r="B44" s="5" t="s">
        <v>657</v>
      </c>
      <c r="C44" s="1" t="str" cm="1">
        <f t="array" ref="C44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Integralność medyczna -&gt; pomyłka przy wpisie -&gt; wprowadzenie błędnych danych = [I]</v>
      </c>
      <c r="D44" s="5">
        <v>4</v>
      </c>
      <c r="E44" s="5">
        <v>4</v>
      </c>
      <c r="F44" s="5">
        <f>tab\AROD[[#This Row],[Prawdopodobieństwo]]*tab\AROD[[#This Row],[Wpływ]]</f>
        <v>16</v>
      </c>
      <c r="G44" s="5" t="str" cm="1">
        <f t="array" ref="G44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44" s="5" t="s">
        <v>1009</v>
      </c>
      <c r="I44" s="5" t="s">
        <v>1271</v>
      </c>
      <c r="J44" s="5">
        <v>2</v>
      </c>
      <c r="K44" s="5">
        <v>3</v>
      </c>
      <c r="L44" s="5">
        <f>tab\AROD[[#This Row],[Wpływ po zabezpieczeniach]]*tab\AROD[[#This Row],[Prawdopodobienstwo po zabezpieczeniach]]</f>
        <v>6</v>
      </c>
      <c r="M44" s="5" t="str" cm="1">
        <f t="array" ref="M44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44" s="5" t="s">
        <v>9</v>
      </c>
      <c r="O44" s="8"/>
    </row>
    <row r="45" spans="1:15" ht="28.8" x14ac:dyDescent="0.3">
      <c r="A45" s="5" t="s">
        <v>931</v>
      </c>
      <c r="B45" s="5" t="s">
        <v>658</v>
      </c>
      <c r="C45" s="1" t="str" cm="1">
        <f t="array" ref="C45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Integralność medyczna -&gt; błędna identyfikacja pacjenta -&gt; przypisanie wpisu do niewłaściwego pacjenta = [P+I]</v>
      </c>
      <c r="D45" s="5">
        <v>3</v>
      </c>
      <c r="E45" s="5">
        <v>5</v>
      </c>
      <c r="F45" s="5">
        <f>tab\AROD[[#This Row],[Prawdopodobieństwo]]*tab\AROD[[#This Row],[Wpływ]]</f>
        <v>15</v>
      </c>
      <c r="G45" s="5" t="str" cm="1">
        <f t="array" ref="G45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45" s="5" t="s">
        <v>1009</v>
      </c>
      <c r="I45" s="5" t="s">
        <v>1272</v>
      </c>
      <c r="J45" s="5">
        <v>1</v>
      </c>
      <c r="K45" s="5">
        <v>5</v>
      </c>
      <c r="L45" s="5">
        <f>tab\AROD[[#This Row],[Wpływ po zabezpieczeniach]]*tab\AROD[[#This Row],[Prawdopodobienstwo po zabezpieczeniach]]</f>
        <v>5</v>
      </c>
      <c r="M45" s="5" t="str" cm="1">
        <f t="array" ref="M45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45" s="5" t="s">
        <v>9</v>
      </c>
      <c r="O45" s="8"/>
    </row>
    <row r="46" spans="1:15" ht="57.6" x14ac:dyDescent="0.3">
      <c r="A46" s="5" t="s">
        <v>932</v>
      </c>
      <c r="B46" s="5" t="s">
        <v>659</v>
      </c>
      <c r="C46" s="1" t="str" cm="1">
        <f t="array" ref="C46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Integralność medyczna -&gt; nieuprawniony dostęp / działanie osoby nieuprawnionej -&gt; nieautoryzowana zmiana dokumentacji = [I]</v>
      </c>
      <c r="D46" s="5">
        <v>2</v>
      </c>
      <c r="E46" s="5">
        <v>5</v>
      </c>
      <c r="F46" s="5">
        <f>tab\AROD[[#This Row],[Prawdopodobieństwo]]*tab\AROD[[#This Row],[Wpływ]]</f>
        <v>10</v>
      </c>
      <c r="G46" s="5" t="str" cm="1">
        <f t="array" ref="G46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46" s="5" t="s">
        <v>1009</v>
      </c>
      <c r="I46" s="5" t="s">
        <v>1273</v>
      </c>
      <c r="J46" s="5">
        <v>1</v>
      </c>
      <c r="K46" s="5">
        <v>5</v>
      </c>
      <c r="L46" s="5">
        <f>tab\AROD[[#This Row],[Wpływ po zabezpieczeniach]]*tab\AROD[[#This Row],[Prawdopodobienstwo po zabezpieczeniach]]</f>
        <v>5</v>
      </c>
      <c r="M46" s="5" t="str" cm="1">
        <f t="array" ref="M46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46" s="5" t="s">
        <v>9</v>
      </c>
      <c r="O46" s="8"/>
    </row>
    <row r="47" spans="1:15" ht="43.2" x14ac:dyDescent="0.3">
      <c r="A47" s="5" t="s">
        <v>933</v>
      </c>
      <c r="B47" s="5" t="s">
        <v>660</v>
      </c>
      <c r="C47" s="1" t="str" cm="1">
        <f t="array" ref="C47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Dostępność -&gt; awaria systemu -&gt; niedostępność systemu = [D]</v>
      </c>
      <c r="D47" s="5">
        <v>3</v>
      </c>
      <c r="E47" s="5">
        <v>4</v>
      </c>
      <c r="F47" s="5">
        <f>tab\AROD[[#This Row],[Prawdopodobieństwo]]*tab\AROD[[#This Row],[Wpływ]]</f>
        <v>12</v>
      </c>
      <c r="G47" s="5" t="str" cm="1">
        <f t="array" ref="G47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47" s="5" t="s">
        <v>1009</v>
      </c>
      <c r="I47" s="5" t="s">
        <v>1274</v>
      </c>
      <c r="J47" s="5">
        <v>2</v>
      </c>
      <c r="K47" s="5">
        <v>3</v>
      </c>
      <c r="L47" s="5">
        <f>tab\AROD[[#This Row],[Wpływ po zabezpieczeniach]]*tab\AROD[[#This Row],[Prawdopodobienstwo po zabezpieczeniach]]</f>
        <v>6</v>
      </c>
      <c r="M47" s="5" t="str" cm="1">
        <f t="array" ref="M47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47" s="5" t="s">
        <v>9</v>
      </c>
      <c r="O47" s="8"/>
    </row>
    <row r="48" spans="1:15" x14ac:dyDescent="0.3">
      <c r="A48" s="5" t="s">
        <v>934</v>
      </c>
      <c r="B48" s="5" t="s">
        <v>661</v>
      </c>
      <c r="C48" s="1" t="str" cm="1">
        <f t="array" ref="C48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Dostępność -&gt; awaria zasilania -&gt; niedostępność urządzeń/systemu = [D]</v>
      </c>
      <c r="D48" s="5">
        <v>3</v>
      </c>
      <c r="E48" s="5">
        <v>3</v>
      </c>
      <c r="F48" s="5">
        <f>tab\AROD[[#This Row],[Prawdopodobieństwo]]*tab\AROD[[#This Row],[Wpływ]]</f>
        <v>9</v>
      </c>
      <c r="G48" s="5" t="str" cm="1">
        <f t="array" ref="G48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Umiarkowane</v>
      </c>
      <c r="H48" s="5" t="s">
        <v>1009</v>
      </c>
      <c r="I48" s="5" t="s">
        <v>1275</v>
      </c>
      <c r="J48" s="5">
        <v>2</v>
      </c>
      <c r="K48" s="5">
        <v>2</v>
      </c>
      <c r="L48" s="5">
        <f>tab\AROD[[#This Row],[Wpływ po zabezpieczeniach]]*tab\AROD[[#This Row],[Prawdopodobienstwo po zabezpieczeniach]]</f>
        <v>4</v>
      </c>
      <c r="M48" s="5" t="str" cm="1">
        <f t="array" ref="M48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48" s="5" t="s">
        <v>9</v>
      </c>
      <c r="O48" s="8"/>
    </row>
    <row r="49" spans="1:15" ht="43.2" x14ac:dyDescent="0.3">
      <c r="A49" s="5" t="s">
        <v>935</v>
      </c>
      <c r="B49" s="5" t="s">
        <v>662</v>
      </c>
      <c r="C49" s="1" t="str" cm="1">
        <f t="array" ref="C49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Dostępność -&gt; awaria dostawcy SaaS -&gt; niedostępność usługi = [D]</v>
      </c>
      <c r="D49" s="5">
        <v>3</v>
      </c>
      <c r="E49" s="5">
        <v>4</v>
      </c>
      <c r="F49" s="5">
        <f>tab\AROD[[#This Row],[Prawdopodobieństwo]]*tab\AROD[[#This Row],[Wpływ]]</f>
        <v>12</v>
      </c>
      <c r="G49" s="5" t="str" cm="1">
        <f t="array" ref="G49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49" s="5" t="s">
        <v>1009</v>
      </c>
      <c r="I49" s="5" t="s">
        <v>1276</v>
      </c>
      <c r="J49" s="5">
        <v>2</v>
      </c>
      <c r="K49" s="5">
        <v>3</v>
      </c>
      <c r="L49" s="5">
        <f>tab\AROD[[#This Row],[Wpływ po zabezpieczeniach]]*tab\AROD[[#This Row],[Prawdopodobienstwo po zabezpieczeniach]]</f>
        <v>6</v>
      </c>
      <c r="M49" s="5" t="str" cm="1">
        <f t="array" ref="M49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Umiarkowane</v>
      </c>
      <c r="N49" s="5" t="s">
        <v>9</v>
      </c>
      <c r="O49" s="8"/>
    </row>
    <row r="50" spans="1:15" ht="72" x14ac:dyDescent="0.3">
      <c r="A50" s="5" t="s">
        <v>936</v>
      </c>
      <c r="B50" s="5" t="s">
        <v>663</v>
      </c>
      <c r="C50" s="1" t="str" cm="1">
        <f t="array" ref="C50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Dostępność -&gt; ransomware / DoS -&gt; niedostępność systemu = [D]</v>
      </c>
      <c r="D50" s="5">
        <v>3</v>
      </c>
      <c r="E50" s="5">
        <v>5</v>
      </c>
      <c r="F50" s="5">
        <f>tab\AROD[[#This Row],[Prawdopodobieństwo]]*tab\AROD[[#This Row],[Wpływ]]</f>
        <v>15</v>
      </c>
      <c r="G50" s="5" t="str" cm="1">
        <f t="array" ref="G50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Wysokie</v>
      </c>
      <c r="H50" s="5" t="s">
        <v>1009</v>
      </c>
      <c r="I50" s="5" t="s">
        <v>1277</v>
      </c>
      <c r="J50" s="5">
        <v>1</v>
      </c>
      <c r="K50" s="5">
        <v>4</v>
      </c>
      <c r="L50" s="5">
        <f>tab\AROD[[#This Row],[Wpływ po zabezpieczeniach]]*tab\AROD[[#This Row],[Prawdopodobienstwo po zabezpieczeniach]]</f>
        <v>4</v>
      </c>
      <c r="M50" s="5" t="str" cm="1">
        <f t="array" ref="M50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50" s="5" t="s">
        <v>9</v>
      </c>
      <c r="O50" s="8"/>
    </row>
    <row r="51" spans="1:15" x14ac:dyDescent="0.3">
      <c r="A51" s="5" t="s">
        <v>937</v>
      </c>
      <c r="B51" s="5"/>
      <c r="C51" s="1" t="str" cm="1">
        <f t="array" ref="C5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51" s="5"/>
      <c r="E51" s="5"/>
      <c r="F51" s="5">
        <f>tab\AROD[[#This Row],[Prawdopodobieństwo]]*tab\AROD[[#This Row],[Wpływ]]</f>
        <v>0</v>
      </c>
      <c r="G51" s="5" t="str" cm="1">
        <f t="array" ref="G5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51" s="5"/>
      <c r="J51" s="5"/>
      <c r="K51" s="5"/>
      <c r="L51" s="5">
        <f>tab\AROD[[#This Row],[Wpływ po zabezpieczeniach]]*tab\AROD[[#This Row],[Prawdopodobienstwo po zabezpieczeniach]]</f>
        <v>0</v>
      </c>
      <c r="M51" s="5" t="str" cm="1">
        <f t="array" ref="M5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51" s="5"/>
      <c r="O51" s="8"/>
    </row>
    <row r="52" spans="1:15" x14ac:dyDescent="0.3">
      <c r="A52" s="5" t="s">
        <v>938</v>
      </c>
      <c r="B52" s="5"/>
      <c r="C52" s="1" t="str" cm="1">
        <f t="array" ref="C52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52" s="5"/>
      <c r="E52" s="5"/>
      <c r="F52" s="5">
        <f>tab\AROD[[#This Row],[Prawdopodobieństwo]]*tab\AROD[[#This Row],[Wpływ]]</f>
        <v>0</v>
      </c>
      <c r="G52" s="5" t="str" cm="1">
        <f t="array" ref="G52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52" s="5"/>
      <c r="J52" s="5"/>
      <c r="K52" s="5"/>
      <c r="L52" s="5">
        <f>tab\AROD[[#This Row],[Wpływ po zabezpieczeniach]]*tab\AROD[[#This Row],[Prawdopodobienstwo po zabezpieczeniach]]</f>
        <v>0</v>
      </c>
      <c r="M52" s="5" t="str" cm="1">
        <f t="array" ref="M52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52" s="5"/>
      <c r="O52" s="8"/>
    </row>
    <row r="53" spans="1:15" x14ac:dyDescent="0.3">
      <c r="A53" s="5" t="s">
        <v>939</v>
      </c>
      <c r="B53" s="5"/>
      <c r="C53" s="1" t="str" cm="1">
        <f t="array" ref="C53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53" s="5"/>
      <c r="E53" s="5"/>
      <c r="F53" s="5">
        <f>tab\AROD[[#This Row],[Prawdopodobieństwo]]*tab\AROD[[#This Row],[Wpływ]]</f>
        <v>0</v>
      </c>
      <c r="G53" s="5" t="str" cm="1">
        <f t="array" ref="G53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53" s="5"/>
      <c r="J53" s="5"/>
      <c r="K53" s="5"/>
      <c r="L53" s="5">
        <f>tab\AROD[[#This Row],[Wpływ po zabezpieczeniach]]*tab\AROD[[#This Row],[Prawdopodobienstwo po zabezpieczeniach]]</f>
        <v>0</v>
      </c>
      <c r="M53" s="5" t="str" cm="1">
        <f t="array" ref="M53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53" s="5"/>
      <c r="O53" s="8"/>
    </row>
    <row r="54" spans="1:15" x14ac:dyDescent="0.3">
      <c r="A54" s="5" t="s">
        <v>940</v>
      </c>
      <c r="B54" s="5"/>
      <c r="C54" s="1" t="str" cm="1">
        <f t="array" ref="C54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54" s="5"/>
      <c r="E54" s="5"/>
      <c r="F54" s="5">
        <f>tab\AROD[[#This Row],[Prawdopodobieństwo]]*tab\AROD[[#This Row],[Wpływ]]</f>
        <v>0</v>
      </c>
      <c r="G54" s="5" t="str" cm="1">
        <f t="array" ref="G54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54" s="5"/>
      <c r="J54" s="5"/>
      <c r="K54" s="5"/>
      <c r="L54" s="5">
        <f>tab\AROD[[#This Row],[Wpływ po zabezpieczeniach]]*tab\AROD[[#This Row],[Prawdopodobienstwo po zabezpieczeniach]]</f>
        <v>0</v>
      </c>
      <c r="M54" s="5" t="str" cm="1">
        <f t="array" ref="M54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54" s="5"/>
      <c r="O54" s="8"/>
    </row>
    <row r="55" spans="1:15" x14ac:dyDescent="0.3">
      <c r="A55" s="5" t="s">
        <v>941</v>
      </c>
      <c r="B55" s="5"/>
      <c r="C55" s="1" t="str" cm="1">
        <f t="array" ref="C55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55" s="5"/>
      <c r="E55" s="5"/>
      <c r="F55" s="5">
        <f>tab\AROD[[#This Row],[Prawdopodobieństwo]]*tab\AROD[[#This Row],[Wpływ]]</f>
        <v>0</v>
      </c>
      <c r="G55" s="5" t="str" cm="1">
        <f t="array" ref="G55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55" s="5"/>
      <c r="J55" s="5"/>
      <c r="K55" s="5"/>
      <c r="L55" s="5">
        <f>tab\AROD[[#This Row],[Wpływ po zabezpieczeniach]]*tab\AROD[[#This Row],[Prawdopodobienstwo po zabezpieczeniach]]</f>
        <v>0</v>
      </c>
      <c r="M55" s="5" t="str" cm="1">
        <f t="array" ref="M55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55" s="5"/>
      <c r="O55" s="8"/>
    </row>
    <row r="56" spans="1:15" x14ac:dyDescent="0.3">
      <c r="A56" s="5" t="s">
        <v>942</v>
      </c>
      <c r="B56" s="5"/>
      <c r="C56" s="1" t="str" cm="1">
        <f t="array" ref="C56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56" s="5"/>
      <c r="E56" s="5"/>
      <c r="F56" s="5">
        <f>tab\AROD[[#This Row],[Prawdopodobieństwo]]*tab\AROD[[#This Row],[Wpływ]]</f>
        <v>0</v>
      </c>
      <c r="G56" s="5" t="str" cm="1">
        <f t="array" ref="G56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56" s="5"/>
      <c r="J56" s="5"/>
      <c r="K56" s="5"/>
      <c r="L56" s="5">
        <f>tab\AROD[[#This Row],[Wpływ po zabezpieczeniach]]*tab\AROD[[#This Row],[Prawdopodobienstwo po zabezpieczeniach]]</f>
        <v>0</v>
      </c>
      <c r="M56" s="5" t="str" cm="1">
        <f t="array" ref="M56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56" s="5"/>
      <c r="O56" s="8"/>
    </row>
    <row r="57" spans="1:15" x14ac:dyDescent="0.3">
      <c r="A57" s="5" t="s">
        <v>943</v>
      </c>
      <c r="B57" s="5"/>
      <c r="C57" s="1" t="str" cm="1">
        <f t="array" ref="C57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57" s="5"/>
      <c r="E57" s="5"/>
      <c r="F57" s="5">
        <f>tab\AROD[[#This Row],[Prawdopodobieństwo]]*tab\AROD[[#This Row],[Wpływ]]</f>
        <v>0</v>
      </c>
      <c r="G57" s="5" t="str" cm="1">
        <f t="array" ref="G57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57" s="5"/>
      <c r="J57" s="5"/>
      <c r="K57" s="5"/>
      <c r="L57" s="5">
        <f>tab\AROD[[#This Row],[Wpływ po zabezpieczeniach]]*tab\AROD[[#This Row],[Prawdopodobienstwo po zabezpieczeniach]]</f>
        <v>0</v>
      </c>
      <c r="M57" s="5" t="str" cm="1">
        <f t="array" ref="M57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57" s="5"/>
      <c r="O57" s="8"/>
    </row>
    <row r="58" spans="1:15" x14ac:dyDescent="0.3">
      <c r="A58" s="5" t="s">
        <v>944</v>
      </c>
      <c r="B58" s="5"/>
      <c r="C58" s="1" t="str" cm="1">
        <f t="array" ref="C58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58" s="5"/>
      <c r="E58" s="5"/>
      <c r="F58" s="5">
        <f>tab\AROD[[#This Row],[Prawdopodobieństwo]]*tab\AROD[[#This Row],[Wpływ]]</f>
        <v>0</v>
      </c>
      <c r="G58" s="5" t="str" cm="1">
        <f t="array" ref="G58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58" s="5"/>
      <c r="J58" s="5"/>
      <c r="K58" s="5"/>
      <c r="L58" s="5">
        <f>tab\AROD[[#This Row],[Wpływ po zabezpieczeniach]]*tab\AROD[[#This Row],[Prawdopodobienstwo po zabezpieczeniach]]</f>
        <v>0</v>
      </c>
      <c r="M58" s="5" t="str" cm="1">
        <f t="array" ref="M58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58" s="5"/>
      <c r="O58" s="8"/>
    </row>
    <row r="59" spans="1:15" x14ac:dyDescent="0.3">
      <c r="A59" s="5" t="s">
        <v>945</v>
      </c>
      <c r="B59" s="5"/>
      <c r="C59" s="1" t="str" cm="1">
        <f t="array" ref="C59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59" s="5"/>
      <c r="E59" s="5"/>
      <c r="F59" s="5">
        <f>tab\AROD[[#This Row],[Prawdopodobieństwo]]*tab\AROD[[#This Row],[Wpływ]]</f>
        <v>0</v>
      </c>
      <c r="G59" s="5" t="str" cm="1">
        <f t="array" ref="G59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59" s="5"/>
      <c r="J59" s="5"/>
      <c r="K59" s="5"/>
      <c r="L59" s="5">
        <f>tab\AROD[[#This Row],[Wpływ po zabezpieczeniach]]*tab\AROD[[#This Row],[Prawdopodobienstwo po zabezpieczeniach]]</f>
        <v>0</v>
      </c>
      <c r="M59" s="5" t="str" cm="1">
        <f t="array" ref="M59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59" s="5"/>
      <c r="O59" s="8"/>
    </row>
    <row r="60" spans="1:15" x14ac:dyDescent="0.3">
      <c r="A60" s="5" t="s">
        <v>946</v>
      </c>
      <c r="B60" s="5"/>
      <c r="C60" s="1" t="str" cm="1">
        <f t="array" ref="C60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60" s="5"/>
      <c r="E60" s="5"/>
      <c r="F60" s="5">
        <f>tab\AROD[[#This Row],[Prawdopodobieństwo]]*tab\AROD[[#This Row],[Wpływ]]</f>
        <v>0</v>
      </c>
      <c r="G60" s="5" t="str" cm="1">
        <f t="array" ref="G60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60" s="5"/>
      <c r="J60" s="5"/>
      <c r="K60" s="5"/>
      <c r="L60" s="5">
        <f>tab\AROD[[#This Row],[Wpływ po zabezpieczeniach]]*tab\AROD[[#This Row],[Prawdopodobienstwo po zabezpieczeniach]]</f>
        <v>0</v>
      </c>
      <c r="M60" s="5" t="str" cm="1">
        <f t="array" ref="M60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60" s="5"/>
      <c r="O60" s="8"/>
    </row>
    <row r="61" spans="1:15" x14ac:dyDescent="0.3">
      <c r="A61" s="5" t="s">
        <v>947</v>
      </c>
      <c r="B61" s="5"/>
      <c r="C61" s="1" t="str" cm="1">
        <f t="array" ref="C6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61" s="5"/>
      <c r="E61" s="5"/>
      <c r="F61" s="5">
        <f>tab\AROD[[#This Row],[Prawdopodobieństwo]]*tab\AROD[[#This Row],[Wpływ]]</f>
        <v>0</v>
      </c>
      <c r="G61" s="5" t="str" cm="1">
        <f t="array" ref="G6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61" s="5"/>
      <c r="J61" s="5"/>
      <c r="K61" s="5"/>
      <c r="L61" s="5">
        <f>tab\AROD[[#This Row],[Wpływ po zabezpieczeniach]]*tab\AROD[[#This Row],[Prawdopodobienstwo po zabezpieczeniach]]</f>
        <v>0</v>
      </c>
      <c r="M61" s="5" t="str" cm="1">
        <f t="array" ref="M6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61" s="5"/>
      <c r="O61" s="8"/>
    </row>
    <row r="62" spans="1:15" x14ac:dyDescent="0.3">
      <c r="A62" s="5" t="s">
        <v>948</v>
      </c>
      <c r="B62" s="5"/>
      <c r="C62" s="1" t="str" cm="1">
        <f t="array" ref="C62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62" s="5"/>
      <c r="E62" s="5"/>
      <c r="F62" s="5">
        <f>tab\AROD[[#This Row],[Prawdopodobieństwo]]*tab\AROD[[#This Row],[Wpływ]]</f>
        <v>0</v>
      </c>
      <c r="G62" s="5" t="str" cm="1">
        <f t="array" ref="G62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62" s="5"/>
      <c r="J62" s="5"/>
      <c r="K62" s="5"/>
      <c r="L62" s="5">
        <f>tab\AROD[[#This Row],[Wpływ po zabezpieczeniach]]*tab\AROD[[#This Row],[Prawdopodobienstwo po zabezpieczeniach]]</f>
        <v>0</v>
      </c>
      <c r="M62" s="5" t="str" cm="1">
        <f t="array" ref="M62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62" s="5"/>
      <c r="O62" s="8"/>
    </row>
    <row r="63" spans="1:15" x14ac:dyDescent="0.3">
      <c r="A63" s="5" t="s">
        <v>949</v>
      </c>
      <c r="B63" s="5"/>
      <c r="C63" s="1" t="str" cm="1">
        <f t="array" ref="C63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63" s="5"/>
      <c r="E63" s="5"/>
      <c r="F63" s="5">
        <f>tab\AROD[[#This Row],[Prawdopodobieństwo]]*tab\AROD[[#This Row],[Wpływ]]</f>
        <v>0</v>
      </c>
      <c r="G63" s="5" t="str" cm="1">
        <f t="array" ref="G63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63" s="5"/>
      <c r="J63" s="5"/>
      <c r="K63" s="5"/>
      <c r="L63" s="5">
        <f>tab\AROD[[#This Row],[Wpływ po zabezpieczeniach]]*tab\AROD[[#This Row],[Prawdopodobienstwo po zabezpieczeniach]]</f>
        <v>0</v>
      </c>
      <c r="M63" s="5" t="str" cm="1">
        <f t="array" ref="M63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63" s="5"/>
      <c r="O63" s="8"/>
    </row>
    <row r="64" spans="1:15" x14ac:dyDescent="0.3">
      <c r="A64" s="5" t="s">
        <v>950</v>
      </c>
      <c r="B64" s="5"/>
      <c r="C64" s="1" t="str" cm="1">
        <f t="array" ref="C64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64" s="5"/>
      <c r="E64" s="5"/>
      <c r="F64" s="5">
        <f>tab\AROD[[#This Row],[Prawdopodobieństwo]]*tab\AROD[[#This Row],[Wpływ]]</f>
        <v>0</v>
      </c>
      <c r="G64" s="5" t="str" cm="1">
        <f t="array" ref="G64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64" s="5"/>
      <c r="J64" s="5"/>
      <c r="K64" s="5"/>
      <c r="L64" s="5">
        <f>tab\AROD[[#This Row],[Wpływ po zabezpieczeniach]]*tab\AROD[[#This Row],[Prawdopodobienstwo po zabezpieczeniach]]</f>
        <v>0</v>
      </c>
      <c r="M64" s="5" t="str" cm="1">
        <f t="array" ref="M64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64" s="5"/>
      <c r="O64" s="8"/>
    </row>
    <row r="65" spans="1:15" x14ac:dyDescent="0.3">
      <c r="A65" s="5" t="s">
        <v>951</v>
      </c>
      <c r="B65" s="5"/>
      <c r="C65" s="1" t="str" cm="1">
        <f t="array" ref="C65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65" s="5"/>
      <c r="E65" s="5"/>
      <c r="F65" s="5">
        <f>tab\AROD[[#This Row],[Prawdopodobieństwo]]*tab\AROD[[#This Row],[Wpływ]]</f>
        <v>0</v>
      </c>
      <c r="G65" s="5" t="str" cm="1">
        <f t="array" ref="G65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65" s="5"/>
      <c r="J65" s="5"/>
      <c r="K65" s="5"/>
      <c r="L65" s="5">
        <f>tab\AROD[[#This Row],[Wpływ po zabezpieczeniach]]*tab\AROD[[#This Row],[Prawdopodobienstwo po zabezpieczeniach]]</f>
        <v>0</v>
      </c>
      <c r="M65" s="5" t="str" cm="1">
        <f t="array" ref="M65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65" s="5"/>
      <c r="O65" s="8"/>
    </row>
    <row r="66" spans="1:15" x14ac:dyDescent="0.3">
      <c r="A66" s="5" t="s">
        <v>952</v>
      </c>
      <c r="B66" s="5"/>
      <c r="C66" s="1" t="str" cm="1">
        <f t="array" ref="C66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66" s="5"/>
      <c r="E66" s="5"/>
      <c r="F66" s="5">
        <f>tab\AROD[[#This Row],[Prawdopodobieństwo]]*tab\AROD[[#This Row],[Wpływ]]</f>
        <v>0</v>
      </c>
      <c r="G66" s="5" t="str" cm="1">
        <f t="array" ref="G66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66" s="5"/>
      <c r="J66" s="5"/>
      <c r="K66" s="5"/>
      <c r="L66" s="5">
        <f>tab\AROD[[#This Row],[Wpływ po zabezpieczeniach]]*tab\AROD[[#This Row],[Prawdopodobienstwo po zabezpieczeniach]]</f>
        <v>0</v>
      </c>
      <c r="M66" s="5" t="str" cm="1">
        <f t="array" ref="M66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66" s="5"/>
      <c r="O66" s="8"/>
    </row>
    <row r="67" spans="1:15" x14ac:dyDescent="0.3">
      <c r="A67" s="5" t="s">
        <v>953</v>
      </c>
      <c r="B67" s="5"/>
      <c r="C67" s="1" t="str" cm="1">
        <f t="array" ref="C67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67" s="5"/>
      <c r="E67" s="5"/>
      <c r="F67" s="5">
        <f>tab\AROD[[#This Row],[Prawdopodobieństwo]]*tab\AROD[[#This Row],[Wpływ]]</f>
        <v>0</v>
      </c>
      <c r="G67" s="5" t="str" cm="1">
        <f t="array" ref="G67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67" s="5"/>
      <c r="J67" s="5"/>
      <c r="K67" s="5"/>
      <c r="L67" s="5">
        <f>tab\AROD[[#This Row],[Wpływ po zabezpieczeniach]]*tab\AROD[[#This Row],[Prawdopodobienstwo po zabezpieczeniach]]</f>
        <v>0</v>
      </c>
      <c r="M67" s="5" t="str" cm="1">
        <f t="array" ref="M67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67" s="5"/>
      <c r="O67" s="8"/>
    </row>
    <row r="68" spans="1:15" x14ac:dyDescent="0.3">
      <c r="A68" s="5" t="s">
        <v>954</v>
      </c>
      <c r="B68" s="5"/>
      <c r="C68" s="1" t="str" cm="1">
        <f t="array" ref="C68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68" s="5"/>
      <c r="E68" s="5"/>
      <c r="F68" s="5">
        <f>tab\AROD[[#This Row],[Prawdopodobieństwo]]*tab\AROD[[#This Row],[Wpływ]]</f>
        <v>0</v>
      </c>
      <c r="G68" s="5" t="str" cm="1">
        <f t="array" ref="G68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68" s="5"/>
      <c r="J68" s="5"/>
      <c r="K68" s="5"/>
      <c r="L68" s="5">
        <f>tab\AROD[[#This Row],[Wpływ po zabezpieczeniach]]*tab\AROD[[#This Row],[Prawdopodobienstwo po zabezpieczeniach]]</f>
        <v>0</v>
      </c>
      <c r="M68" s="5" t="str" cm="1">
        <f t="array" ref="M68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68" s="5"/>
      <c r="O68" s="8"/>
    </row>
    <row r="69" spans="1:15" x14ac:dyDescent="0.3">
      <c r="A69" s="5" t="s">
        <v>955</v>
      </c>
      <c r="B69" s="5"/>
      <c r="C69" s="1" t="str" cm="1">
        <f t="array" ref="C69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69" s="5"/>
      <c r="E69" s="5"/>
      <c r="F69" s="5">
        <f>tab\AROD[[#This Row],[Prawdopodobieństwo]]*tab\AROD[[#This Row],[Wpływ]]</f>
        <v>0</v>
      </c>
      <c r="G69" s="5" t="str" cm="1">
        <f t="array" ref="G69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69" s="5"/>
      <c r="J69" s="5"/>
      <c r="K69" s="5"/>
      <c r="L69" s="5">
        <f>tab\AROD[[#This Row],[Wpływ po zabezpieczeniach]]*tab\AROD[[#This Row],[Prawdopodobienstwo po zabezpieczeniach]]</f>
        <v>0</v>
      </c>
      <c r="M69" s="5" t="str" cm="1">
        <f t="array" ref="M69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69" s="5"/>
      <c r="O69" s="8"/>
    </row>
    <row r="70" spans="1:15" x14ac:dyDescent="0.3">
      <c r="A70" s="5" t="s">
        <v>956</v>
      </c>
      <c r="B70" s="5"/>
      <c r="C70" s="1" t="str" cm="1">
        <f t="array" ref="C70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70" s="5"/>
      <c r="E70" s="5"/>
      <c r="F70" s="5">
        <f>tab\AROD[[#This Row],[Prawdopodobieństwo]]*tab\AROD[[#This Row],[Wpływ]]</f>
        <v>0</v>
      </c>
      <c r="G70" s="5" t="str" cm="1">
        <f t="array" ref="G70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70" s="5"/>
      <c r="J70" s="5"/>
      <c r="K70" s="5"/>
      <c r="L70" s="5">
        <f>tab\AROD[[#This Row],[Wpływ po zabezpieczeniach]]*tab\AROD[[#This Row],[Prawdopodobienstwo po zabezpieczeniach]]</f>
        <v>0</v>
      </c>
      <c r="M70" s="5" t="str" cm="1">
        <f t="array" ref="M70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70" s="5"/>
      <c r="O70" s="8"/>
    </row>
    <row r="71" spans="1:15" x14ac:dyDescent="0.3">
      <c r="A71" s="5" t="s">
        <v>957</v>
      </c>
      <c r="B71" s="5"/>
      <c r="C71" s="1" t="str" cm="1">
        <f t="array" ref="C7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71" s="5"/>
      <c r="E71" s="5"/>
      <c r="F71" s="5">
        <f>tab\AROD[[#This Row],[Prawdopodobieństwo]]*tab\AROD[[#This Row],[Wpływ]]</f>
        <v>0</v>
      </c>
      <c r="G71" s="5" t="str" cm="1">
        <f t="array" ref="G7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71" s="5"/>
      <c r="J71" s="5"/>
      <c r="K71" s="5"/>
      <c r="L71" s="5">
        <f>tab\AROD[[#This Row],[Wpływ po zabezpieczeniach]]*tab\AROD[[#This Row],[Prawdopodobienstwo po zabezpieczeniach]]</f>
        <v>0</v>
      </c>
      <c r="M71" s="5" t="str" cm="1">
        <f t="array" ref="M7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71" s="5"/>
      <c r="O71" s="8"/>
    </row>
    <row r="72" spans="1:15" x14ac:dyDescent="0.3">
      <c r="A72" s="5" t="s">
        <v>958</v>
      </c>
      <c r="B72" s="5"/>
      <c r="C72" s="1" t="str" cm="1">
        <f t="array" ref="C72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72" s="5"/>
      <c r="E72" s="5"/>
      <c r="F72" s="5">
        <f>tab\AROD[[#This Row],[Prawdopodobieństwo]]*tab\AROD[[#This Row],[Wpływ]]</f>
        <v>0</v>
      </c>
      <c r="G72" s="5" t="str" cm="1">
        <f t="array" ref="G72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72" s="5"/>
      <c r="J72" s="5"/>
      <c r="K72" s="5"/>
      <c r="L72" s="5">
        <f>tab\AROD[[#This Row],[Wpływ po zabezpieczeniach]]*tab\AROD[[#This Row],[Prawdopodobienstwo po zabezpieczeniach]]</f>
        <v>0</v>
      </c>
      <c r="M72" s="5" t="str" cm="1">
        <f t="array" ref="M72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72" s="5"/>
      <c r="O72" s="8"/>
    </row>
    <row r="73" spans="1:15" x14ac:dyDescent="0.3">
      <c r="A73" s="5" t="s">
        <v>959</v>
      </c>
      <c r="B73" s="5"/>
      <c r="C73" s="1" t="str" cm="1">
        <f t="array" ref="C73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73" s="5"/>
      <c r="E73" s="5"/>
      <c r="F73" s="5">
        <f>tab\AROD[[#This Row],[Prawdopodobieństwo]]*tab\AROD[[#This Row],[Wpływ]]</f>
        <v>0</v>
      </c>
      <c r="G73" s="5" t="str" cm="1">
        <f t="array" ref="G73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73" s="5"/>
      <c r="J73" s="5"/>
      <c r="K73" s="5"/>
      <c r="L73" s="5">
        <f>tab\AROD[[#This Row],[Wpływ po zabezpieczeniach]]*tab\AROD[[#This Row],[Prawdopodobienstwo po zabezpieczeniach]]</f>
        <v>0</v>
      </c>
      <c r="M73" s="5" t="str" cm="1">
        <f t="array" ref="M73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73" s="5"/>
      <c r="O73" s="8"/>
    </row>
    <row r="74" spans="1:15" x14ac:dyDescent="0.3">
      <c r="A74" s="5" t="s">
        <v>960</v>
      </c>
      <c r="B74" s="5"/>
      <c r="C74" s="1" t="str" cm="1">
        <f t="array" ref="C74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74" s="5"/>
      <c r="E74" s="5"/>
      <c r="F74" s="5">
        <f>tab\AROD[[#This Row],[Prawdopodobieństwo]]*tab\AROD[[#This Row],[Wpływ]]</f>
        <v>0</v>
      </c>
      <c r="G74" s="5" t="str" cm="1">
        <f t="array" ref="G74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74" s="5"/>
      <c r="J74" s="5"/>
      <c r="K74" s="5"/>
      <c r="L74" s="5">
        <f>tab\AROD[[#This Row],[Wpływ po zabezpieczeniach]]*tab\AROD[[#This Row],[Prawdopodobienstwo po zabezpieczeniach]]</f>
        <v>0</v>
      </c>
      <c r="M74" s="5" t="str" cm="1">
        <f t="array" ref="M74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74" s="5"/>
      <c r="O74" s="8"/>
    </row>
    <row r="75" spans="1:15" x14ac:dyDescent="0.3">
      <c r="A75" s="5" t="s">
        <v>961</v>
      </c>
      <c r="B75" s="5"/>
      <c r="C75" s="1" t="str" cm="1">
        <f t="array" ref="C75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75" s="5"/>
      <c r="E75" s="5"/>
      <c r="F75" s="5">
        <f>tab\AROD[[#This Row],[Prawdopodobieństwo]]*tab\AROD[[#This Row],[Wpływ]]</f>
        <v>0</v>
      </c>
      <c r="G75" s="5" t="str" cm="1">
        <f t="array" ref="G75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75" s="5"/>
      <c r="J75" s="5"/>
      <c r="K75" s="5"/>
      <c r="L75" s="5">
        <f>tab\AROD[[#This Row],[Wpływ po zabezpieczeniach]]*tab\AROD[[#This Row],[Prawdopodobienstwo po zabezpieczeniach]]</f>
        <v>0</v>
      </c>
      <c r="M75" s="5" t="str" cm="1">
        <f t="array" ref="M75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75" s="5"/>
      <c r="O75" s="8"/>
    </row>
    <row r="76" spans="1:15" x14ac:dyDescent="0.3">
      <c r="A76" s="5" t="s">
        <v>962</v>
      </c>
      <c r="B76" s="5"/>
      <c r="C76" s="1" t="str" cm="1">
        <f t="array" ref="C76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76" s="5"/>
      <c r="E76" s="5"/>
      <c r="F76" s="5">
        <f>tab\AROD[[#This Row],[Prawdopodobieństwo]]*tab\AROD[[#This Row],[Wpływ]]</f>
        <v>0</v>
      </c>
      <c r="G76" s="5" t="str" cm="1">
        <f t="array" ref="G76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76" s="5"/>
      <c r="J76" s="5"/>
      <c r="K76" s="5"/>
      <c r="L76" s="5">
        <f>tab\AROD[[#This Row],[Wpływ po zabezpieczeniach]]*tab\AROD[[#This Row],[Prawdopodobienstwo po zabezpieczeniach]]</f>
        <v>0</v>
      </c>
      <c r="M76" s="5" t="str" cm="1">
        <f t="array" ref="M76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76" s="5"/>
      <c r="O76" s="8"/>
    </row>
    <row r="77" spans="1:15" x14ac:dyDescent="0.3">
      <c r="A77" s="5" t="s">
        <v>963</v>
      </c>
      <c r="B77" s="5"/>
      <c r="C77" s="1" t="str" cm="1">
        <f t="array" ref="C77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77" s="5"/>
      <c r="E77" s="5"/>
      <c r="F77" s="5">
        <f>tab\AROD[[#This Row],[Prawdopodobieństwo]]*tab\AROD[[#This Row],[Wpływ]]</f>
        <v>0</v>
      </c>
      <c r="G77" s="5" t="str" cm="1">
        <f t="array" ref="G77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77" s="5"/>
      <c r="J77" s="5"/>
      <c r="K77" s="5"/>
      <c r="L77" s="5">
        <f>tab\AROD[[#This Row],[Wpływ po zabezpieczeniach]]*tab\AROD[[#This Row],[Prawdopodobienstwo po zabezpieczeniach]]</f>
        <v>0</v>
      </c>
      <c r="M77" s="5" t="str" cm="1">
        <f t="array" ref="M77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77" s="5"/>
      <c r="O77" s="8"/>
    </row>
    <row r="78" spans="1:15" x14ac:dyDescent="0.3">
      <c r="A78" s="5" t="s">
        <v>964</v>
      </c>
      <c r="B78" s="5"/>
      <c r="C78" s="1" t="str" cm="1">
        <f t="array" ref="C78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78" s="5"/>
      <c r="E78" s="5"/>
      <c r="F78" s="5">
        <f>tab\AROD[[#This Row],[Prawdopodobieństwo]]*tab\AROD[[#This Row],[Wpływ]]</f>
        <v>0</v>
      </c>
      <c r="G78" s="5" t="str" cm="1">
        <f t="array" ref="G78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78" s="5"/>
      <c r="J78" s="5"/>
      <c r="K78" s="5"/>
      <c r="L78" s="5">
        <f>tab\AROD[[#This Row],[Wpływ po zabezpieczeniach]]*tab\AROD[[#This Row],[Prawdopodobienstwo po zabezpieczeniach]]</f>
        <v>0</v>
      </c>
      <c r="M78" s="5" t="str" cm="1">
        <f t="array" ref="M78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78" s="5"/>
      <c r="O78" s="8"/>
    </row>
    <row r="79" spans="1:15" x14ac:dyDescent="0.3">
      <c r="A79" s="5" t="s">
        <v>965</v>
      </c>
      <c r="B79" s="5"/>
      <c r="C79" s="1" t="str" cm="1">
        <f t="array" ref="C79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79" s="5"/>
      <c r="E79" s="5"/>
      <c r="F79" s="5">
        <f>tab\AROD[[#This Row],[Prawdopodobieństwo]]*tab\AROD[[#This Row],[Wpływ]]</f>
        <v>0</v>
      </c>
      <c r="G79" s="5" t="str" cm="1">
        <f t="array" ref="G79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79" s="5"/>
      <c r="J79" s="5"/>
      <c r="K79" s="5"/>
      <c r="L79" s="5">
        <f>tab\AROD[[#This Row],[Wpływ po zabezpieczeniach]]*tab\AROD[[#This Row],[Prawdopodobienstwo po zabezpieczeniach]]</f>
        <v>0</v>
      </c>
      <c r="M79" s="5" t="str" cm="1">
        <f t="array" ref="M79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79" s="5"/>
      <c r="O79" s="8"/>
    </row>
    <row r="80" spans="1:15" x14ac:dyDescent="0.3">
      <c r="A80" s="5" t="s">
        <v>966</v>
      </c>
      <c r="B80" s="5"/>
      <c r="C80" s="1" t="str" cm="1">
        <f t="array" ref="C80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80" s="5"/>
      <c r="E80" s="5"/>
      <c r="F80" s="5">
        <f>tab\AROD[[#This Row],[Prawdopodobieństwo]]*tab\AROD[[#This Row],[Wpływ]]</f>
        <v>0</v>
      </c>
      <c r="G80" s="5" t="str" cm="1">
        <f t="array" ref="G80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80" s="5"/>
      <c r="J80" s="5"/>
      <c r="K80" s="5"/>
      <c r="L80" s="5">
        <f>tab\AROD[[#This Row],[Wpływ po zabezpieczeniach]]*tab\AROD[[#This Row],[Prawdopodobienstwo po zabezpieczeniach]]</f>
        <v>0</v>
      </c>
      <c r="M80" s="5" t="str" cm="1">
        <f t="array" ref="M80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80" s="5"/>
      <c r="O80" s="8"/>
    </row>
    <row r="81" spans="1:15" x14ac:dyDescent="0.3">
      <c r="A81" s="5" t="s">
        <v>967</v>
      </c>
      <c r="B81" s="5"/>
      <c r="C81" s="1" t="str" cm="1">
        <f t="array" ref="C8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81" s="5"/>
      <c r="E81" s="5"/>
      <c r="F81" s="5">
        <f>tab\AROD[[#This Row],[Prawdopodobieństwo]]*tab\AROD[[#This Row],[Wpływ]]</f>
        <v>0</v>
      </c>
      <c r="G81" s="5" t="str" cm="1">
        <f t="array" ref="G8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81" s="5"/>
      <c r="J81" s="5"/>
      <c r="K81" s="5"/>
      <c r="L81" s="5">
        <f>tab\AROD[[#This Row],[Wpływ po zabezpieczeniach]]*tab\AROD[[#This Row],[Prawdopodobienstwo po zabezpieczeniach]]</f>
        <v>0</v>
      </c>
      <c r="M81" s="5" t="str" cm="1">
        <f t="array" ref="M8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81" s="5"/>
      <c r="O81" s="8"/>
    </row>
    <row r="82" spans="1:15" x14ac:dyDescent="0.3">
      <c r="A82" s="5" t="s">
        <v>968</v>
      </c>
      <c r="B82" s="5"/>
      <c r="C82" s="1" t="str" cm="1">
        <f t="array" ref="C82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82" s="5"/>
      <c r="E82" s="5"/>
      <c r="F82" s="5">
        <f>tab\AROD[[#This Row],[Prawdopodobieństwo]]*tab\AROD[[#This Row],[Wpływ]]</f>
        <v>0</v>
      </c>
      <c r="G82" s="5" t="str" cm="1">
        <f t="array" ref="G82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82" s="5"/>
      <c r="J82" s="5"/>
      <c r="K82" s="5"/>
      <c r="L82" s="5">
        <f>tab\AROD[[#This Row],[Wpływ po zabezpieczeniach]]*tab\AROD[[#This Row],[Prawdopodobienstwo po zabezpieczeniach]]</f>
        <v>0</v>
      </c>
      <c r="M82" s="5" t="str" cm="1">
        <f t="array" ref="M82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82" s="5"/>
      <c r="O82" s="8"/>
    </row>
    <row r="83" spans="1:15" x14ac:dyDescent="0.3">
      <c r="A83" s="5" t="s">
        <v>969</v>
      </c>
      <c r="B83" s="5"/>
      <c r="C83" s="1" t="str" cm="1">
        <f t="array" ref="C83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83" s="5"/>
      <c r="E83" s="5"/>
      <c r="F83" s="5">
        <f>tab\AROD[[#This Row],[Prawdopodobieństwo]]*tab\AROD[[#This Row],[Wpływ]]</f>
        <v>0</v>
      </c>
      <c r="G83" s="5" t="str" cm="1">
        <f t="array" ref="G83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83" s="5"/>
      <c r="J83" s="5"/>
      <c r="K83" s="5"/>
      <c r="L83" s="5">
        <f>tab\AROD[[#This Row],[Wpływ po zabezpieczeniach]]*tab\AROD[[#This Row],[Prawdopodobienstwo po zabezpieczeniach]]</f>
        <v>0</v>
      </c>
      <c r="M83" s="5" t="str" cm="1">
        <f t="array" ref="M83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83" s="5"/>
      <c r="O83" s="8"/>
    </row>
    <row r="84" spans="1:15" x14ac:dyDescent="0.3">
      <c r="A84" s="5" t="s">
        <v>970</v>
      </c>
      <c r="B84" s="5"/>
      <c r="C84" s="1" t="str" cm="1">
        <f t="array" ref="C84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84" s="5"/>
      <c r="E84" s="5"/>
      <c r="F84" s="5">
        <f>tab\AROD[[#This Row],[Prawdopodobieństwo]]*tab\AROD[[#This Row],[Wpływ]]</f>
        <v>0</v>
      </c>
      <c r="G84" s="5" t="str" cm="1">
        <f t="array" ref="G84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84" s="5"/>
      <c r="J84" s="5"/>
      <c r="K84" s="5"/>
      <c r="L84" s="5">
        <f>tab\AROD[[#This Row],[Wpływ po zabezpieczeniach]]*tab\AROD[[#This Row],[Prawdopodobienstwo po zabezpieczeniach]]</f>
        <v>0</v>
      </c>
      <c r="M84" s="5" t="str" cm="1">
        <f t="array" ref="M84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84" s="5"/>
      <c r="O84" s="8"/>
    </row>
    <row r="85" spans="1:15" x14ac:dyDescent="0.3">
      <c r="A85" s="5" t="s">
        <v>971</v>
      </c>
      <c r="B85" s="5"/>
      <c r="C85" s="1" t="str" cm="1">
        <f t="array" ref="C85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85" s="5"/>
      <c r="E85" s="5"/>
      <c r="F85" s="5">
        <f>tab\AROD[[#This Row],[Prawdopodobieństwo]]*tab\AROD[[#This Row],[Wpływ]]</f>
        <v>0</v>
      </c>
      <c r="G85" s="5" t="str" cm="1">
        <f t="array" ref="G85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85" s="5"/>
      <c r="J85" s="5"/>
      <c r="K85" s="5"/>
      <c r="L85" s="5">
        <f>tab\AROD[[#This Row],[Wpływ po zabezpieczeniach]]*tab\AROD[[#This Row],[Prawdopodobienstwo po zabezpieczeniach]]</f>
        <v>0</v>
      </c>
      <c r="M85" s="5" t="str" cm="1">
        <f t="array" ref="M85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85" s="5"/>
      <c r="O85" s="8"/>
    </row>
    <row r="86" spans="1:15" x14ac:dyDescent="0.3">
      <c r="A86" s="5" t="s">
        <v>972</v>
      </c>
      <c r="B86" s="5"/>
      <c r="C86" s="1" t="str" cm="1">
        <f t="array" ref="C86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86" s="5"/>
      <c r="E86" s="5"/>
      <c r="F86" s="5">
        <f>tab\AROD[[#This Row],[Prawdopodobieństwo]]*tab\AROD[[#This Row],[Wpływ]]</f>
        <v>0</v>
      </c>
      <c r="G86" s="5" t="str" cm="1">
        <f t="array" ref="G86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86" s="5"/>
      <c r="J86" s="5"/>
      <c r="K86" s="5"/>
      <c r="L86" s="5">
        <f>tab\AROD[[#This Row],[Wpływ po zabezpieczeniach]]*tab\AROD[[#This Row],[Prawdopodobienstwo po zabezpieczeniach]]</f>
        <v>0</v>
      </c>
      <c r="M86" s="5" t="str" cm="1">
        <f t="array" ref="M86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86" s="5"/>
      <c r="O86" s="8"/>
    </row>
    <row r="87" spans="1:15" x14ac:dyDescent="0.3">
      <c r="A87" s="5" t="s">
        <v>973</v>
      </c>
      <c r="B87" s="5"/>
      <c r="C87" s="1" t="str" cm="1">
        <f t="array" ref="C87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87" s="5"/>
      <c r="E87" s="5"/>
      <c r="F87" s="5">
        <f>tab\AROD[[#This Row],[Prawdopodobieństwo]]*tab\AROD[[#This Row],[Wpływ]]</f>
        <v>0</v>
      </c>
      <c r="G87" s="5" t="str" cm="1">
        <f t="array" ref="G87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87" s="5"/>
      <c r="J87" s="5"/>
      <c r="K87" s="5"/>
      <c r="L87" s="5">
        <f>tab\AROD[[#This Row],[Wpływ po zabezpieczeniach]]*tab\AROD[[#This Row],[Prawdopodobienstwo po zabezpieczeniach]]</f>
        <v>0</v>
      </c>
      <c r="M87" s="5" t="str" cm="1">
        <f t="array" ref="M87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87" s="5"/>
      <c r="O87" s="8"/>
    </row>
    <row r="88" spans="1:15" x14ac:dyDescent="0.3">
      <c r="A88" s="5" t="s">
        <v>974</v>
      </c>
      <c r="B88" s="5"/>
      <c r="C88" s="1" t="str" cm="1">
        <f t="array" ref="C88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88" s="5"/>
      <c r="E88" s="5"/>
      <c r="F88" s="5">
        <f>tab\AROD[[#This Row],[Prawdopodobieństwo]]*tab\AROD[[#This Row],[Wpływ]]</f>
        <v>0</v>
      </c>
      <c r="G88" s="5" t="str" cm="1">
        <f t="array" ref="G88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88" s="5"/>
      <c r="J88" s="5"/>
      <c r="K88" s="5"/>
      <c r="L88" s="5">
        <f>tab\AROD[[#This Row],[Wpływ po zabezpieczeniach]]*tab\AROD[[#This Row],[Prawdopodobienstwo po zabezpieczeniach]]</f>
        <v>0</v>
      </c>
      <c r="M88" s="5" t="str" cm="1">
        <f t="array" ref="M88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88" s="5"/>
      <c r="O88" s="8"/>
    </row>
    <row r="89" spans="1:15" x14ac:dyDescent="0.3">
      <c r="A89" s="5" t="s">
        <v>975</v>
      </c>
      <c r="B89" s="5"/>
      <c r="C89" s="1" t="str" cm="1">
        <f t="array" ref="C89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89" s="5"/>
      <c r="E89" s="5"/>
      <c r="F89" s="5">
        <f>tab\AROD[[#This Row],[Prawdopodobieństwo]]*tab\AROD[[#This Row],[Wpływ]]</f>
        <v>0</v>
      </c>
      <c r="G89" s="5" t="str" cm="1">
        <f t="array" ref="G89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89" s="5"/>
      <c r="J89" s="5"/>
      <c r="K89" s="5"/>
      <c r="L89" s="5">
        <f>tab\AROD[[#This Row],[Wpływ po zabezpieczeniach]]*tab\AROD[[#This Row],[Prawdopodobienstwo po zabezpieczeniach]]</f>
        <v>0</v>
      </c>
      <c r="M89" s="5" t="str" cm="1">
        <f t="array" ref="M89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89" s="5"/>
      <c r="O89" s="8"/>
    </row>
    <row r="90" spans="1:15" x14ac:dyDescent="0.3">
      <c r="A90" s="5" t="s">
        <v>976</v>
      </c>
      <c r="B90" s="5"/>
      <c r="C90" s="1" t="str" cm="1">
        <f t="array" ref="C90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90" s="5"/>
      <c r="E90" s="5"/>
      <c r="F90" s="5">
        <f>tab\AROD[[#This Row],[Prawdopodobieństwo]]*tab\AROD[[#This Row],[Wpływ]]</f>
        <v>0</v>
      </c>
      <c r="G90" s="5" t="str" cm="1">
        <f t="array" ref="G90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90" s="5"/>
      <c r="J90" s="5"/>
      <c r="K90" s="5"/>
      <c r="L90" s="5">
        <f>tab\AROD[[#This Row],[Wpływ po zabezpieczeniach]]*tab\AROD[[#This Row],[Prawdopodobienstwo po zabezpieczeniach]]</f>
        <v>0</v>
      </c>
      <c r="M90" s="5" t="str" cm="1">
        <f t="array" ref="M90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0" s="5"/>
      <c r="O90" s="8"/>
    </row>
    <row r="91" spans="1:15" x14ac:dyDescent="0.3">
      <c r="A91" s="5" t="s">
        <v>977</v>
      </c>
      <c r="B91" s="5"/>
      <c r="C91" s="1" t="str" cm="1">
        <f t="array" ref="C9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91" s="5"/>
      <c r="E91" s="5"/>
      <c r="F91" s="5">
        <f>tab\AROD[[#This Row],[Prawdopodobieństwo]]*tab\AROD[[#This Row],[Wpływ]]</f>
        <v>0</v>
      </c>
      <c r="G91" s="5" t="str" cm="1">
        <f t="array" ref="G9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91" s="5"/>
      <c r="J91" s="5"/>
      <c r="K91" s="5"/>
      <c r="L91" s="5">
        <f>tab\AROD[[#This Row],[Wpływ po zabezpieczeniach]]*tab\AROD[[#This Row],[Prawdopodobienstwo po zabezpieczeniach]]</f>
        <v>0</v>
      </c>
      <c r="M91" s="5" t="str" cm="1">
        <f t="array" ref="M9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1" s="5"/>
      <c r="O91" s="8"/>
    </row>
    <row r="92" spans="1:15" x14ac:dyDescent="0.3">
      <c r="A92" s="5" t="s">
        <v>978</v>
      </c>
      <c r="B92" s="5"/>
      <c r="C92" s="1" t="str" cm="1">
        <f t="array" ref="C92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92" s="5"/>
      <c r="E92" s="5"/>
      <c r="F92" s="5">
        <f>tab\AROD[[#This Row],[Prawdopodobieństwo]]*tab\AROD[[#This Row],[Wpływ]]</f>
        <v>0</v>
      </c>
      <c r="G92" s="5" t="str" cm="1">
        <f t="array" ref="G92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92" s="5"/>
      <c r="J92" s="5"/>
      <c r="K92" s="5"/>
      <c r="L92" s="5">
        <f>tab\AROD[[#This Row],[Wpływ po zabezpieczeniach]]*tab\AROD[[#This Row],[Prawdopodobienstwo po zabezpieczeniach]]</f>
        <v>0</v>
      </c>
      <c r="M92" s="5" t="str" cm="1">
        <f t="array" ref="M92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2" s="5"/>
      <c r="O92" s="8"/>
    </row>
    <row r="93" spans="1:15" x14ac:dyDescent="0.3">
      <c r="A93" s="5" t="s">
        <v>979</v>
      </c>
      <c r="B93" s="5"/>
      <c r="C93" s="1" t="str" cm="1">
        <f t="array" ref="C93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93" s="5"/>
      <c r="E93" s="5"/>
      <c r="F93" s="5">
        <f>tab\AROD[[#This Row],[Prawdopodobieństwo]]*tab\AROD[[#This Row],[Wpływ]]</f>
        <v>0</v>
      </c>
      <c r="G93" s="5" t="str" cm="1">
        <f t="array" ref="G93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93" s="5"/>
      <c r="J93" s="5"/>
      <c r="K93" s="5"/>
      <c r="L93" s="5">
        <f>tab\AROD[[#This Row],[Wpływ po zabezpieczeniach]]*tab\AROD[[#This Row],[Prawdopodobienstwo po zabezpieczeniach]]</f>
        <v>0</v>
      </c>
      <c r="M93" s="5" t="str" cm="1">
        <f t="array" ref="M93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3" s="5"/>
      <c r="O93" s="8"/>
    </row>
    <row r="94" spans="1:15" x14ac:dyDescent="0.3">
      <c r="A94" s="5" t="s">
        <v>980</v>
      </c>
      <c r="B94" s="5"/>
      <c r="C94" s="1" t="str" cm="1">
        <f t="array" ref="C94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94" s="5"/>
      <c r="E94" s="5"/>
      <c r="F94" s="5">
        <f>tab\AROD[[#This Row],[Prawdopodobieństwo]]*tab\AROD[[#This Row],[Wpływ]]</f>
        <v>0</v>
      </c>
      <c r="G94" s="5" t="str" cm="1">
        <f t="array" ref="G94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94" s="5"/>
      <c r="J94" s="5"/>
      <c r="K94" s="5"/>
      <c r="L94" s="5">
        <f>tab\AROD[[#This Row],[Wpływ po zabezpieczeniach]]*tab\AROD[[#This Row],[Prawdopodobienstwo po zabezpieczeniach]]</f>
        <v>0</v>
      </c>
      <c r="M94" s="5" t="str" cm="1">
        <f t="array" ref="M94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4" s="5"/>
      <c r="O94" s="8"/>
    </row>
    <row r="95" spans="1:15" x14ac:dyDescent="0.3">
      <c r="A95" s="5" t="s">
        <v>981</v>
      </c>
      <c r="B95" s="5"/>
      <c r="C95" s="1" t="str" cm="1">
        <f t="array" ref="C95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95" s="5"/>
      <c r="E95" s="5"/>
      <c r="F95" s="5">
        <f>tab\AROD[[#This Row],[Prawdopodobieństwo]]*tab\AROD[[#This Row],[Wpływ]]</f>
        <v>0</v>
      </c>
      <c r="G95" s="5" t="str" cm="1">
        <f t="array" ref="G95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95" s="5"/>
      <c r="J95" s="5"/>
      <c r="K95" s="5"/>
      <c r="L95" s="5">
        <f>tab\AROD[[#This Row],[Wpływ po zabezpieczeniach]]*tab\AROD[[#This Row],[Prawdopodobienstwo po zabezpieczeniach]]</f>
        <v>0</v>
      </c>
      <c r="M95" s="5" t="str" cm="1">
        <f t="array" ref="M95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5" s="5"/>
      <c r="O95" s="8"/>
    </row>
    <row r="96" spans="1:15" x14ac:dyDescent="0.3">
      <c r="A96" s="5" t="s">
        <v>982</v>
      </c>
      <c r="B96" s="5"/>
      <c r="C96" s="1" t="str" cm="1">
        <f t="array" ref="C96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96" s="5"/>
      <c r="E96" s="5"/>
      <c r="F96" s="5">
        <f>tab\AROD[[#This Row],[Prawdopodobieństwo]]*tab\AROD[[#This Row],[Wpływ]]</f>
        <v>0</v>
      </c>
      <c r="G96" s="5" t="str" cm="1">
        <f t="array" ref="G96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96" s="5"/>
      <c r="J96" s="5"/>
      <c r="K96" s="5"/>
      <c r="L96" s="5">
        <f>tab\AROD[[#This Row],[Wpływ po zabezpieczeniach]]*tab\AROD[[#This Row],[Prawdopodobienstwo po zabezpieczeniach]]</f>
        <v>0</v>
      </c>
      <c r="M96" s="5" t="str" cm="1">
        <f t="array" ref="M96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6" s="5"/>
      <c r="O96" s="8"/>
    </row>
    <row r="97" spans="1:15" x14ac:dyDescent="0.3">
      <c r="A97" s="5" t="s">
        <v>983</v>
      </c>
      <c r="B97" s="5"/>
      <c r="C97" s="1" t="str" cm="1">
        <f t="array" ref="C97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97" s="5"/>
      <c r="E97" s="5"/>
      <c r="F97" s="5">
        <f>tab\AROD[[#This Row],[Prawdopodobieństwo]]*tab\AROD[[#This Row],[Wpływ]]</f>
        <v>0</v>
      </c>
      <c r="G97" s="5" t="str" cm="1">
        <f t="array" ref="G97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97" s="5"/>
      <c r="J97" s="5"/>
      <c r="K97" s="5"/>
      <c r="L97" s="5">
        <f>tab\AROD[[#This Row],[Wpływ po zabezpieczeniach]]*tab\AROD[[#This Row],[Prawdopodobienstwo po zabezpieczeniach]]</f>
        <v>0</v>
      </c>
      <c r="M97" s="5" t="str" cm="1">
        <f t="array" ref="M97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7" s="5"/>
      <c r="O97" s="8"/>
    </row>
    <row r="98" spans="1:15" x14ac:dyDescent="0.3">
      <c r="A98" s="5" t="s">
        <v>984</v>
      </c>
      <c r="B98" s="5"/>
      <c r="C98" s="1" t="str" cm="1">
        <f t="array" ref="C98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98" s="5"/>
      <c r="E98" s="5"/>
      <c r="F98" s="5">
        <f>tab\AROD[[#This Row],[Prawdopodobieństwo]]*tab\AROD[[#This Row],[Wpływ]]</f>
        <v>0</v>
      </c>
      <c r="G98" s="5" t="str" cm="1">
        <f t="array" ref="G98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98" s="5"/>
      <c r="J98" s="5"/>
      <c r="K98" s="5"/>
      <c r="L98" s="5">
        <f>tab\AROD[[#This Row],[Wpływ po zabezpieczeniach]]*tab\AROD[[#This Row],[Prawdopodobienstwo po zabezpieczeniach]]</f>
        <v>0</v>
      </c>
      <c r="M98" s="5" t="str" cm="1">
        <f t="array" ref="M98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8" s="5"/>
      <c r="O98" s="8"/>
    </row>
    <row r="99" spans="1:15" x14ac:dyDescent="0.3">
      <c r="A99" s="5" t="s">
        <v>985</v>
      </c>
      <c r="B99" s="5"/>
      <c r="C99" s="1" t="str" cm="1">
        <f t="array" ref="C99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99" s="5"/>
      <c r="E99" s="5"/>
      <c r="F99" s="5">
        <f>tab\AROD[[#This Row],[Prawdopodobieństwo]]*tab\AROD[[#This Row],[Wpływ]]</f>
        <v>0</v>
      </c>
      <c r="G99" s="5" t="str" cm="1">
        <f t="array" ref="G99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99" s="5"/>
      <c r="J99" s="5"/>
      <c r="K99" s="5"/>
      <c r="L99" s="5">
        <f>tab\AROD[[#This Row],[Wpływ po zabezpieczeniach]]*tab\AROD[[#This Row],[Prawdopodobienstwo po zabezpieczeniach]]</f>
        <v>0</v>
      </c>
      <c r="M99" s="5" t="str" cm="1">
        <f t="array" ref="M99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99" s="5"/>
      <c r="O99" s="8"/>
    </row>
    <row r="100" spans="1:15" x14ac:dyDescent="0.3">
      <c r="A100" s="5" t="s">
        <v>986</v>
      </c>
      <c r="B100" s="5"/>
      <c r="C100" s="1" t="str" cm="1">
        <f t="array" ref="C100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100" s="5"/>
      <c r="E100" s="5"/>
      <c r="F100" s="5">
        <f>tab\AROD[[#This Row],[Prawdopodobieństwo]]*tab\AROD[[#This Row],[Wpływ]]</f>
        <v>0</v>
      </c>
      <c r="G100" s="5" t="str" cm="1">
        <f t="array" ref="G100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100" s="5"/>
      <c r="J100" s="5"/>
      <c r="K100" s="5"/>
      <c r="L100" s="5">
        <f>tab\AROD[[#This Row],[Wpływ po zabezpieczeniach]]*tab\AROD[[#This Row],[Prawdopodobienstwo po zabezpieczeniach]]</f>
        <v>0</v>
      </c>
      <c r="M100" s="5" t="str" cm="1">
        <f t="array" ref="M100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100" s="5"/>
      <c r="O100" s="8"/>
    </row>
    <row r="101" spans="1:15" x14ac:dyDescent="0.3">
      <c r="A101" s="5" t="s">
        <v>987</v>
      </c>
      <c r="B101" s="5"/>
      <c r="C101" s="1" t="str" cm="1">
        <f t="array" ref="C101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101" s="5"/>
      <c r="E101" s="5"/>
      <c r="F101" s="5">
        <f>tab\AROD[[#This Row],[Prawdopodobieństwo]]*tab\AROD[[#This Row],[Wpływ]]</f>
        <v>0</v>
      </c>
      <c r="G101" s="5" t="str" cm="1">
        <f t="array" ref="G101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101" s="5"/>
      <c r="J101" s="5"/>
      <c r="K101" s="5"/>
      <c r="L101" s="5">
        <f>tab\AROD[[#This Row],[Wpływ po zabezpieczeniach]]*tab\AROD[[#This Row],[Prawdopodobienstwo po zabezpieczeniach]]</f>
        <v>0</v>
      </c>
      <c r="M101" s="5" t="str" cm="1">
        <f t="array" ref="M101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101" s="5"/>
      <c r="O101" s="8"/>
    </row>
    <row r="102" spans="1:15" x14ac:dyDescent="0.3">
      <c r="A102" s="5" t="s">
        <v>988</v>
      </c>
      <c r="B102" s="5"/>
      <c r="C102" s="1" t="str" cm="1">
        <f t="array" ref="C102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102" s="5"/>
      <c r="E102" s="5"/>
      <c r="F102" s="5">
        <f>tab\AROD[[#This Row],[Prawdopodobieństwo]]*tab\AROD[[#This Row],[Wpływ]]</f>
        <v>0</v>
      </c>
      <c r="G102" s="5" t="str" cm="1">
        <f t="array" ref="G102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102" s="5"/>
      <c r="J102" s="5"/>
      <c r="K102" s="5"/>
      <c r="L102" s="5">
        <f>tab\AROD[[#This Row],[Wpływ po zabezpieczeniach]]*tab\AROD[[#This Row],[Prawdopodobienstwo po zabezpieczeniach]]</f>
        <v>0</v>
      </c>
      <c r="M102" s="5" t="str" cm="1">
        <f t="array" ref="M102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102" s="5"/>
      <c r="O102" s="8"/>
    </row>
    <row r="103" spans="1:15" x14ac:dyDescent="0.3">
      <c r="A103" s="5" t="s">
        <v>989</v>
      </c>
      <c r="B103" s="5"/>
      <c r="C103" s="1" t="str" cm="1">
        <f t="array" ref="C103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103" s="5"/>
      <c r="E103" s="5"/>
      <c r="F103" s="5">
        <f>tab\AROD[[#This Row],[Prawdopodobieństwo]]*tab\AROD[[#This Row],[Wpływ]]</f>
        <v>0</v>
      </c>
      <c r="G103" s="5" t="str" cm="1">
        <f t="array" ref="G103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103" s="5"/>
      <c r="J103" s="5"/>
      <c r="K103" s="5"/>
      <c r="L103" s="5">
        <f>tab\AROD[[#This Row],[Wpływ po zabezpieczeniach]]*tab\AROD[[#This Row],[Prawdopodobienstwo po zabezpieczeniach]]</f>
        <v>0</v>
      </c>
      <c r="M103" s="5" t="str" cm="1">
        <f t="array" ref="M103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103" s="5"/>
      <c r="O103" s="8"/>
    </row>
    <row r="104" spans="1:15" x14ac:dyDescent="0.3">
      <c r="A104" s="5" t="s">
        <v>990</v>
      </c>
      <c r="B104" s="5"/>
      <c r="C104" s="1" t="str" cm="1">
        <f t="array" ref="C104">IFERROR(
INDEX(tab\Dict.AREA[Obszar],MATCH(tab\AROD[[#This Row],[RISK ID]],tab\Dict.AREA[ID],0))
&amp; var\Symbol.Causes &amp;
INDEX(tab\Dict.AREA[Przyczyna],MATCH(tab\AROD[[#This Row],[RISK ID]],tab\Dict.AREA[ID],0))
&amp; var\Symbol.Causes &amp;
INDEX(tab\Dict.AREA[Zdarzenie],MATCH(tab\AROD[[#This Row],[RISK ID]],tab\Dict.AREA[ID],0))
&amp; " = [" &amp;
_xlfn.TEXTJOIN("+",
TRUE,
IF(
INDEX(tab\Dict.AREA[Poufność],MATCH(tab\AROD[[#This Row],[RISK ID]],tab\Dict.AREA[ID],0))
=INDEX(rng\Symbol.OkNo,2),
"P",
""
),
IF(
INDEX(tab\Dict.AREA[Integralność],MATCH(tab\AROD[[#This Row],[RISK ID]],tab\Dict.AREA[ID],0))
=INDEX(rng\Symbol.OkNo,2),
"I",
""
),
IF(
INDEX(tab\Dict.AREA[Dostępność],MATCH(tab\AROD[[#This Row],[RISK ID]],tab\Dict.AREA[ID],0))
=INDEX(rng\Symbol.OkNo,2),
"D",
""
)
)
&amp; "]",
var\Symbol.NoData
)</f>
        <v>Brak danych</v>
      </c>
      <c r="D104" s="5"/>
      <c r="E104" s="5"/>
      <c r="F104" s="5">
        <f>tab\AROD[[#This Row],[Prawdopodobieństwo]]*tab\AROD[[#This Row],[Wpływ]]</f>
        <v>0</v>
      </c>
      <c r="G104" s="5" t="str" cm="1">
        <f t="array" ref="G104">IF(tab\AROD[[#This Row],[Pierwotne ryzyko systemowe]]&lt;=4,INDEX(rng\Risk.AssessmentLevel,1),
   IF(tab\AROD[[#This Row],[Pierwotne ryzyko systemowe]]&gt;=17,INDEX(rng\Risk.AssessmentLevel,4),
      IF(tab\AROD[[#This Row],[Pierwotne ryzyko systemowe]]&gt;=10,INDEX(rng\Risk.AssessmentLevel,3),
         IF(tab\AROD[[#This Row],[Pierwotne ryzyko systemowe]]&gt;=5,INDEX(rng\Risk.AssessmentLevel,2))
      )
   )
)</f>
        <v>Niskie</v>
      </c>
      <c r="H104" s="5"/>
      <c r="J104" s="5"/>
      <c r="K104" s="5"/>
      <c r="L104" s="5">
        <f>tab\AROD[[#This Row],[Wpływ po zabezpieczeniach]]*tab\AROD[[#This Row],[Prawdopodobienstwo po zabezpieczeniach]]</f>
        <v>0</v>
      </c>
      <c r="M104" s="5" t="str" cm="1">
        <f t="array" ref="M104">IF(tab\AROD[[#This Row],[Ryzyko rezydualne]]&lt;=4,INDEX(rng\Risk.AssessmentLevel,1),
   IF(tab\AROD[[#This Row],[Ryzyko rezydualne]]&gt;=17,INDEX(rng\Risk.AssessmentLevel,4),
      IF(tab\AROD[[#This Row],[Ryzyko rezydualne]]&gt;=10,INDEX(rng\Risk.AssessmentLevel,3),
         IF(tab\AROD[[#This Row],[Ryzyko rezydualne]]&gt;=5,INDEX(rng\Risk.AssessmentLevel,2))
      )
   )
)</f>
        <v>Niskie</v>
      </c>
      <c r="N104" s="5"/>
      <c r="O104" s="8"/>
    </row>
  </sheetData>
  <phoneticPr fontId="4" type="noConversion"/>
  <dataValidations count="4">
    <dataValidation type="list" allowBlank="1" showInputMessage="1" showErrorMessage="1" sqref="D9:E104 J9:K104" xr:uid="{8F419B5E-EC5D-443F-8EBC-D72ADF23A0FB}">
      <formula1>rng\Risk.Probability</formula1>
    </dataValidation>
    <dataValidation type="list" allowBlank="1" showInputMessage="1" showErrorMessage="1" sqref="H9:H104" xr:uid="{B0895409-2831-46F9-AD3A-5D43E57C5F95}">
      <formula1>rng\Risk.Strategy</formula1>
    </dataValidation>
    <dataValidation type="list" allowBlank="1" showInputMessage="1" sqref="I9:I104" xr:uid="{E56843CD-63A4-418E-AE67-D11CF57BA120}">
      <formula1>arr\Security</formula1>
    </dataValidation>
    <dataValidation type="list" allowBlank="1" showInputMessage="1" showErrorMessage="1" sqref="N9:N104" xr:uid="{AF7EAF12-F71E-479A-AB11-43BABD572711}">
      <formula1>rng\Risk.Acceptance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63DD-91E9-4631-AE1C-41940EBFB7BD}">
  <sheetPr>
    <tabColor theme="4"/>
  </sheetPr>
  <dimension ref="A2:Y14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RowHeight="14.4" x14ac:dyDescent="0.3"/>
  <cols>
    <col min="1" max="1" width="8.77734375" style="17" customWidth="1"/>
    <col min="2" max="2" width="29.77734375" style="4" customWidth="1"/>
    <col min="3" max="3" width="32" style="4" customWidth="1"/>
    <col min="4" max="4" width="33.33203125" style="4" customWidth="1"/>
    <col min="5" max="5" width="14.21875" style="4" customWidth="1"/>
    <col min="6" max="6" width="14.5546875" style="4" customWidth="1"/>
    <col min="7" max="7" width="12.33203125" style="4" customWidth="1"/>
    <col min="8" max="8" width="42.33203125" style="4" customWidth="1"/>
    <col min="9" max="9" width="26.33203125" style="18" customWidth="1"/>
    <col min="10" max="10" width="32.109375" style="4" customWidth="1"/>
    <col min="11" max="11" width="36.21875" style="4" customWidth="1"/>
    <col min="12" max="12" width="15.6640625" style="4" customWidth="1"/>
    <col min="13" max="13" width="21.21875" style="4" customWidth="1"/>
    <col min="14" max="14" width="39.21875" style="4" customWidth="1"/>
    <col min="15" max="15" width="41" style="4" customWidth="1"/>
    <col min="16" max="16" width="45.6640625" style="4" customWidth="1"/>
    <col min="17" max="17" width="24.21875" style="17" customWidth="1"/>
    <col min="18" max="18" width="36" style="4" customWidth="1"/>
    <col min="19" max="19" width="24.44140625" style="4" customWidth="1"/>
    <col min="20" max="20" width="21" style="4" customWidth="1"/>
    <col min="21" max="21" width="25.77734375" style="4" customWidth="1"/>
    <col min="22" max="22" width="21" style="4" customWidth="1"/>
    <col min="23" max="23" width="19.5546875" style="4" customWidth="1"/>
    <col min="24" max="24" width="24.109375" style="4" customWidth="1"/>
    <col min="25" max="25" width="26.33203125" style="4" customWidth="1"/>
    <col min="26" max="16384" width="8.88671875" style="4"/>
  </cols>
  <sheetData>
    <row r="2" spans="1:25" ht="31.2" x14ac:dyDescent="0.6">
      <c r="B2" s="21" t="s">
        <v>23</v>
      </c>
    </row>
    <row r="3" spans="1:25" x14ac:dyDescent="0.3"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/>
      </c>
      <c r="I3" s="4"/>
    </row>
    <row r="5" spans="1:25" s="18" customFormat="1" ht="28.8" customHeight="1" x14ac:dyDescent="0.3">
      <c r="A5" s="47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 t="s">
        <v>512</v>
      </c>
      <c r="T5" s="46"/>
      <c r="U5" s="46"/>
      <c r="V5" s="46" t="s">
        <v>513</v>
      </c>
      <c r="W5" s="46"/>
      <c r="X5" s="46"/>
      <c r="Y5" s="46"/>
    </row>
    <row r="6" spans="1:25" ht="14.4" customHeight="1" x14ac:dyDescent="0.3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  <c r="J6" s="16">
        <v>10</v>
      </c>
      <c r="K6" s="16">
        <v>11</v>
      </c>
      <c r="L6" s="16">
        <v>12</v>
      </c>
      <c r="M6" s="16">
        <v>13</v>
      </c>
      <c r="N6" s="16">
        <v>14</v>
      </c>
      <c r="O6" s="16">
        <v>15</v>
      </c>
      <c r="P6" s="16">
        <v>16</v>
      </c>
      <c r="Q6" s="16">
        <v>17</v>
      </c>
      <c r="R6" s="16">
        <v>18</v>
      </c>
      <c r="S6" s="16">
        <v>19</v>
      </c>
      <c r="T6" s="16">
        <v>20</v>
      </c>
      <c r="U6" s="16">
        <v>21</v>
      </c>
      <c r="V6" s="16">
        <v>22</v>
      </c>
      <c r="W6" s="16">
        <v>23</v>
      </c>
      <c r="X6" s="16">
        <v>24</v>
      </c>
      <c r="Y6" s="16">
        <v>25</v>
      </c>
    </row>
    <row r="7" spans="1:25" ht="8.4" customHeight="1" x14ac:dyDescent="0.3">
      <c r="A7" s="16"/>
      <c r="B7" s="16"/>
      <c r="C7" s="34"/>
      <c r="D7" s="34"/>
      <c r="E7" s="34"/>
      <c r="F7" s="34"/>
      <c r="G7" s="34"/>
      <c r="H7" s="34"/>
      <c r="I7" s="19"/>
      <c r="J7" s="16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16"/>
    </row>
    <row r="8" spans="1:25" ht="43.2" x14ac:dyDescent="0.3">
      <c r="A8" s="5" t="s">
        <v>195</v>
      </c>
      <c r="B8" s="5" t="s">
        <v>389</v>
      </c>
      <c r="C8" s="5" t="s">
        <v>390</v>
      </c>
      <c r="D8" s="5" t="s">
        <v>386</v>
      </c>
      <c r="E8" s="5" t="s">
        <v>713</v>
      </c>
      <c r="F8" s="5" t="s">
        <v>712</v>
      </c>
      <c r="G8" s="5" t="s">
        <v>714</v>
      </c>
      <c r="H8" s="5" t="s">
        <v>391</v>
      </c>
      <c r="I8" s="5" t="s">
        <v>387</v>
      </c>
      <c r="J8" s="5" t="s">
        <v>182</v>
      </c>
      <c r="K8" s="5" t="s">
        <v>181</v>
      </c>
      <c r="L8" s="5" t="s">
        <v>392</v>
      </c>
      <c r="M8" s="5" t="s">
        <v>393</v>
      </c>
      <c r="N8" s="5" t="s">
        <v>394</v>
      </c>
      <c r="O8" s="5" t="s">
        <v>395</v>
      </c>
      <c r="P8" s="5" t="s">
        <v>396</v>
      </c>
      <c r="Q8" s="5" t="s">
        <v>397</v>
      </c>
      <c r="R8" s="5" t="s">
        <v>398</v>
      </c>
      <c r="S8" s="5" t="s">
        <v>399</v>
      </c>
      <c r="T8" s="5" t="s">
        <v>400</v>
      </c>
      <c r="U8" s="5" t="s">
        <v>401</v>
      </c>
      <c r="V8" s="5" t="s">
        <v>402</v>
      </c>
      <c r="W8" s="5" t="s">
        <v>403</v>
      </c>
      <c r="X8" s="5" t="s">
        <v>15</v>
      </c>
      <c r="Y8" s="5" t="s">
        <v>404</v>
      </c>
    </row>
    <row r="9" spans="1:25" x14ac:dyDescent="0.3">
      <c r="A9" s="5" t="s">
        <v>385</v>
      </c>
      <c r="B9" s="1"/>
      <c r="C9" s="1"/>
      <c r="D9" s="1"/>
      <c r="E9" s="1"/>
      <c r="F9" s="1"/>
      <c r="G9" s="1"/>
      <c r="H9" s="1"/>
      <c r="I9" s="20"/>
      <c r="J9" s="1"/>
      <c r="K9" s="1"/>
      <c r="L9" s="33"/>
      <c r="M9" s="33"/>
      <c r="N9" s="1"/>
      <c r="O9" s="33"/>
      <c r="P9" s="1"/>
      <c r="Q9" s="5"/>
      <c r="R9" s="5"/>
    </row>
    <row r="10" spans="1:25" x14ac:dyDescent="0.3">
      <c r="A10" s="5"/>
      <c r="B10" s="1"/>
      <c r="C10" s="1"/>
      <c r="D10" s="1"/>
      <c r="E10" s="1"/>
      <c r="F10" s="1"/>
      <c r="G10" s="1"/>
      <c r="H10" s="1"/>
      <c r="I10" s="20"/>
      <c r="J10" s="1"/>
      <c r="K10" s="1"/>
      <c r="L10" s="33"/>
      <c r="M10" s="33"/>
      <c r="N10" s="1"/>
      <c r="O10" s="33"/>
      <c r="P10" s="1"/>
      <c r="Q10" s="5"/>
      <c r="R10" s="5"/>
      <c r="S10" s="5"/>
    </row>
    <row r="11" spans="1:25" x14ac:dyDescent="0.3">
      <c r="A11" s="5"/>
      <c r="B11" s="1"/>
      <c r="C11" s="1"/>
      <c r="D11" s="1"/>
      <c r="E11" s="1"/>
      <c r="F11" s="1"/>
      <c r="G11" s="1"/>
      <c r="H11" s="1"/>
      <c r="I11" s="20"/>
      <c r="J11" s="1"/>
      <c r="K11" s="1"/>
      <c r="L11" s="33"/>
      <c r="M11" s="33"/>
      <c r="N11" s="1"/>
      <c r="O11" s="33"/>
      <c r="P11" s="1"/>
      <c r="Q11" s="5"/>
      <c r="R11" s="5"/>
      <c r="S11" s="5"/>
    </row>
    <row r="12" spans="1:25" x14ac:dyDescent="0.3">
      <c r="A12" s="5"/>
      <c r="B12" s="1"/>
      <c r="C12" s="1"/>
      <c r="D12" s="1"/>
      <c r="E12" s="1"/>
      <c r="F12" s="1"/>
      <c r="G12" s="1"/>
      <c r="H12" s="1"/>
      <c r="I12" s="20"/>
      <c r="J12" s="1"/>
      <c r="K12" s="1"/>
      <c r="L12" s="33"/>
      <c r="M12" s="33"/>
      <c r="N12" s="1"/>
      <c r="O12" s="33"/>
      <c r="P12" s="1"/>
      <c r="Q12" s="5"/>
      <c r="R12" s="5"/>
      <c r="S12" s="5"/>
    </row>
    <row r="13" spans="1:25" x14ac:dyDescent="0.3">
      <c r="A13" s="5"/>
      <c r="B13" s="1"/>
      <c r="C13" s="1"/>
      <c r="D13" s="1"/>
      <c r="E13" s="1"/>
      <c r="F13" s="1"/>
      <c r="G13" s="1"/>
      <c r="H13" s="1"/>
      <c r="I13" s="20"/>
      <c r="J13" s="1"/>
      <c r="K13" s="1"/>
      <c r="L13" s="33"/>
      <c r="M13" s="33"/>
      <c r="N13" s="1"/>
      <c r="O13" s="33"/>
      <c r="P13" s="1"/>
      <c r="Q13" s="5"/>
      <c r="R13" s="5"/>
      <c r="S13" s="5"/>
    </row>
    <row r="14" spans="1:25" x14ac:dyDescent="0.3">
      <c r="A14" s="5"/>
      <c r="B14" s="1"/>
      <c r="C14" s="1"/>
      <c r="D14" s="1"/>
      <c r="E14" s="1"/>
      <c r="F14" s="1"/>
      <c r="G14" s="1"/>
      <c r="H14" s="1"/>
      <c r="I14" s="20"/>
      <c r="J14" s="1"/>
      <c r="K14" s="1"/>
      <c r="L14" s="33"/>
      <c r="M14" s="33"/>
      <c r="N14" s="1"/>
      <c r="O14" s="33"/>
      <c r="P14" s="1"/>
      <c r="Q14" s="5"/>
      <c r="R14" s="5"/>
      <c r="S14" s="5"/>
    </row>
  </sheetData>
  <dataValidations count="4">
    <dataValidation type="list" allowBlank="1" showInputMessage="1" showErrorMessage="1" sqref="D9" xr:uid="{6142F979-2B78-4C46-9107-49342E189F42}">
      <formula1>arr\Dict.Events.Security</formula1>
    </dataValidation>
    <dataValidation type="list" allowBlank="1" showInputMessage="1" showErrorMessage="1" sqref="O9" xr:uid="{D3EF2E37-6704-4FD4-98C5-4AFD18BB3CDB}">
      <formula1>rng\Risk.Level</formula1>
    </dataValidation>
    <dataValidation type="list" allowBlank="1" showInputMessage="1" showErrorMessage="1" sqref="X9" xr:uid="{78BFE8E9-1A54-416C-B009-51B81CC2E923}">
      <formula1>rng\Breach.Status</formula1>
    </dataValidation>
    <dataValidation type="list" allowBlank="1" showInputMessage="1" showErrorMessage="1" sqref="V9 S9 E9:G9" xr:uid="{2F34B144-35F5-4EDE-A1B7-4DB91375A084}">
      <formula1>rng\Choice.YesNo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0767-1E64-45FB-85C1-70D07EFEF09A}">
  <sheetPr>
    <tabColor theme="4"/>
  </sheetPr>
  <dimension ref="A1:D24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28" sqref="C28"/>
    </sheetView>
  </sheetViews>
  <sheetFormatPr defaultRowHeight="14.4" x14ac:dyDescent="0.3"/>
  <cols>
    <col min="2" max="2" width="58.5546875" style="11" customWidth="1"/>
    <col min="3" max="3" width="45.6640625" customWidth="1"/>
    <col min="4" max="4" width="87.5546875" style="1" customWidth="1"/>
  </cols>
  <sheetData>
    <row r="1" spans="1:4" x14ac:dyDescent="0.3">
      <c r="A1" s="17"/>
      <c r="B1" s="1"/>
      <c r="C1" s="4"/>
    </row>
    <row r="2" spans="1:4" ht="31.2" x14ac:dyDescent="0.3">
      <c r="A2" s="17"/>
      <c r="B2" s="83" t="s">
        <v>1301</v>
      </c>
      <c r="C2" s="4"/>
    </row>
    <row r="3" spans="1:4" x14ac:dyDescent="0.3">
      <c r="A3" s="17"/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/>
      </c>
      <c r="C3" s="4"/>
    </row>
    <row r="4" spans="1:4" x14ac:dyDescent="0.3">
      <c r="A4" s="17"/>
      <c r="B4" s="1"/>
      <c r="C4" s="4"/>
    </row>
    <row r="5" spans="1:4" ht="24.6" customHeight="1" x14ac:dyDescent="0.3">
      <c r="A5" s="47"/>
      <c r="B5" s="46" t="s">
        <v>1303</v>
      </c>
      <c r="C5" s="46"/>
      <c r="D5" s="46" t="s">
        <v>1303</v>
      </c>
    </row>
    <row r="6" spans="1:4" x14ac:dyDescent="0.3">
      <c r="A6" s="16">
        <v>1</v>
      </c>
      <c r="B6" s="16">
        <v>2</v>
      </c>
      <c r="C6" s="16">
        <v>3</v>
      </c>
      <c r="D6" s="16">
        <v>4</v>
      </c>
    </row>
    <row r="7" spans="1:4" ht="8.4" customHeight="1" x14ac:dyDescent="0.3">
      <c r="A7" s="61"/>
      <c r="B7" s="62"/>
      <c r="C7" s="62"/>
      <c r="D7" s="61"/>
    </row>
    <row r="8" spans="1:4" ht="28.2" customHeight="1" x14ac:dyDescent="0.3">
      <c r="A8" s="5" t="s">
        <v>195</v>
      </c>
      <c r="B8" s="5" t="s">
        <v>1280</v>
      </c>
      <c r="C8" s="5" t="s">
        <v>1302</v>
      </c>
      <c r="D8" s="5" t="s">
        <v>0</v>
      </c>
    </row>
    <row r="9" spans="1:4" x14ac:dyDescent="0.3">
      <c r="A9" s="5" t="s">
        <v>1289</v>
      </c>
      <c r="B9" s="11" t="s">
        <v>1321</v>
      </c>
      <c r="C9" s="5" t="s">
        <v>10</v>
      </c>
      <c r="D9" s="1" t="s">
        <v>1288</v>
      </c>
    </row>
    <row r="10" spans="1:4" ht="28.8" x14ac:dyDescent="0.3">
      <c r="A10" s="5" t="s">
        <v>1290</v>
      </c>
      <c r="B10" s="11" t="s">
        <v>1287</v>
      </c>
      <c r="C10" s="5" t="s">
        <v>10</v>
      </c>
      <c r="D10" s="1" t="s">
        <v>1333</v>
      </c>
    </row>
    <row r="11" spans="1:4" x14ac:dyDescent="0.3">
      <c r="A11" s="5" t="s">
        <v>1291</v>
      </c>
      <c r="B11" s="11" t="s">
        <v>1312</v>
      </c>
      <c r="C11" s="5" t="s">
        <v>10</v>
      </c>
      <c r="D11" s="1" t="s">
        <v>1332</v>
      </c>
    </row>
    <row r="12" spans="1:4" ht="28.8" x14ac:dyDescent="0.3">
      <c r="A12" s="5" t="s">
        <v>1292</v>
      </c>
      <c r="B12" s="11" t="s">
        <v>1320</v>
      </c>
      <c r="C12" s="5" t="s">
        <v>10</v>
      </c>
      <c r="D12" s="1" t="s">
        <v>1331</v>
      </c>
    </row>
    <row r="13" spans="1:4" ht="28.8" x14ac:dyDescent="0.3">
      <c r="A13" s="5" t="s">
        <v>1293</v>
      </c>
      <c r="B13" s="11" t="s">
        <v>1319</v>
      </c>
      <c r="C13" s="5" t="s">
        <v>9</v>
      </c>
      <c r="D13" s="1" t="s">
        <v>1330</v>
      </c>
    </row>
    <row r="14" spans="1:4" ht="28.8" x14ac:dyDescent="0.3">
      <c r="A14" s="5" t="s">
        <v>1294</v>
      </c>
      <c r="B14" s="11" t="s">
        <v>1283</v>
      </c>
      <c r="C14" s="5" t="s">
        <v>10</v>
      </c>
      <c r="D14" s="1" t="s">
        <v>1329</v>
      </c>
    </row>
    <row r="15" spans="1:4" ht="28.8" x14ac:dyDescent="0.3">
      <c r="A15" s="5" t="s">
        <v>1295</v>
      </c>
      <c r="B15" s="11" t="s">
        <v>1284</v>
      </c>
      <c r="C15" s="5" t="s">
        <v>10</v>
      </c>
      <c r="D15" s="1" t="s">
        <v>1327</v>
      </c>
    </row>
    <row r="16" spans="1:4" ht="57.6" x14ac:dyDescent="0.3">
      <c r="A16" s="5" t="s">
        <v>1296</v>
      </c>
      <c r="B16" s="11" t="s">
        <v>1282</v>
      </c>
      <c r="C16" s="5" t="s">
        <v>10</v>
      </c>
      <c r="D16" s="1" t="s">
        <v>1328</v>
      </c>
    </row>
    <row r="17" spans="1:4" ht="43.2" x14ac:dyDescent="0.3">
      <c r="A17" s="5" t="s">
        <v>1297</v>
      </c>
      <c r="B17" s="8" t="s">
        <v>1313</v>
      </c>
      <c r="C17" s="5" t="s">
        <v>10</v>
      </c>
      <c r="D17" s="1" t="s">
        <v>1326</v>
      </c>
    </row>
    <row r="18" spans="1:4" ht="28.8" x14ac:dyDescent="0.3">
      <c r="A18" s="5" t="s">
        <v>1298</v>
      </c>
      <c r="B18" s="11" t="s">
        <v>1322</v>
      </c>
      <c r="C18" s="5" t="s">
        <v>10</v>
      </c>
      <c r="D18" s="1" t="s">
        <v>1325</v>
      </c>
    </row>
    <row r="19" spans="1:4" ht="28.8" x14ac:dyDescent="0.3">
      <c r="A19" s="5" t="s">
        <v>1299</v>
      </c>
      <c r="B19" s="1" t="s">
        <v>1281</v>
      </c>
      <c r="C19" s="5" t="s">
        <v>10</v>
      </c>
      <c r="D19" s="1" t="s">
        <v>1324</v>
      </c>
    </row>
    <row r="20" spans="1:4" x14ac:dyDescent="0.3">
      <c r="A20" s="5" t="s">
        <v>1300</v>
      </c>
      <c r="B20" s="11" t="s">
        <v>1334</v>
      </c>
      <c r="C20" s="5" t="s">
        <v>10</v>
      </c>
      <c r="D20" s="1" t="s">
        <v>1323</v>
      </c>
    </row>
    <row r="22" spans="1:4" x14ac:dyDescent="0.3">
      <c r="A22" s="5"/>
      <c r="B22" s="84" t="s">
        <v>1285</v>
      </c>
      <c r="C22" s="85" t="str" cm="1">
        <f t="array" ref="C22">IF(COUNTIF(tab\QDP[Potrzebna ocena],INDEX(rng\Choice.YesNo,1))=0,INDEX(rng\DPIA,2),IF(COUNTIF(tab\QDP[Potrzebna ocena],INDEX(rng\Choice.YesNo,1))&gt;=2,INDEX(rng\DPIA,1),INDEX(rng\DPIA,3)))</f>
        <v>Do rozważenia</v>
      </c>
    </row>
    <row r="23" spans="1:4" x14ac:dyDescent="0.3">
      <c r="A23" s="5"/>
      <c r="B23" s="84" t="s">
        <v>1316</v>
      </c>
      <c r="C23" s="39" t="s">
        <v>10</v>
      </c>
    </row>
    <row r="24" spans="1:4" ht="57.6" x14ac:dyDescent="0.3">
      <c r="A24" s="5"/>
      <c r="B24" s="84" t="s">
        <v>1286</v>
      </c>
      <c r="C24" s="77" t="s">
        <v>1314</v>
      </c>
    </row>
  </sheetData>
  <phoneticPr fontId="4" type="noConversion"/>
  <dataValidations count="1">
    <dataValidation type="list" allowBlank="1" showInputMessage="1" showErrorMessage="1" sqref="C9:C20 C23" xr:uid="{0DC1484C-1F7D-42B2-AFA8-8C7D6CAA9D33}">
      <formula1>rng\Choice.YesNo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BDFD-FCE9-4077-B78A-245606D20AA6}">
  <sheetPr>
    <tabColor theme="4"/>
  </sheetPr>
  <dimension ref="A1:G9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18" sqref="C18"/>
    </sheetView>
  </sheetViews>
  <sheetFormatPr defaultRowHeight="14.4" x14ac:dyDescent="0.3"/>
  <cols>
    <col min="2" max="2" width="34.33203125" customWidth="1"/>
    <col min="3" max="3" width="28.109375" customWidth="1"/>
    <col min="4" max="4" width="21.33203125" customWidth="1"/>
    <col min="5" max="5" width="26.88671875" customWidth="1"/>
    <col min="6" max="6" width="41.44140625" customWidth="1"/>
    <col min="7" max="7" width="39.109375" customWidth="1"/>
  </cols>
  <sheetData>
    <row r="1" spans="1:7" x14ac:dyDescent="0.3">
      <c r="A1" s="17"/>
      <c r="B1" s="4"/>
      <c r="C1" s="4"/>
    </row>
    <row r="2" spans="1:7" ht="31.2" x14ac:dyDescent="0.6">
      <c r="A2" s="17"/>
      <c r="B2" s="21" t="s">
        <v>1367</v>
      </c>
      <c r="C2" s="4"/>
    </row>
    <row r="3" spans="1:7" x14ac:dyDescent="0.3">
      <c r="A3" s="17"/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/>
      </c>
      <c r="C3" s="4"/>
    </row>
    <row r="4" spans="1:7" x14ac:dyDescent="0.3">
      <c r="A4" s="17"/>
      <c r="B4" s="4"/>
      <c r="C4" s="4"/>
    </row>
    <row r="5" spans="1:7" ht="28.8" customHeight="1" x14ac:dyDescent="0.3">
      <c r="A5" s="47"/>
      <c r="B5" s="46" t="s">
        <v>1307</v>
      </c>
      <c r="C5" s="46" t="s">
        <v>1307</v>
      </c>
      <c r="D5" s="46" t="s">
        <v>1308</v>
      </c>
      <c r="E5" s="46" t="s">
        <v>1308</v>
      </c>
      <c r="F5" s="46" t="s">
        <v>1309</v>
      </c>
      <c r="G5" s="46" t="s">
        <v>1310</v>
      </c>
    </row>
    <row r="6" spans="1:7" x14ac:dyDescent="0.3">
      <c r="A6" s="16">
        <v>1</v>
      </c>
      <c r="B6" s="16">
        <v>2</v>
      </c>
      <c r="C6" s="16">
        <v>3</v>
      </c>
      <c r="D6" s="16">
        <v>4</v>
      </c>
      <c r="E6" s="16"/>
      <c r="F6" s="16">
        <v>5</v>
      </c>
      <c r="G6" s="16">
        <v>6</v>
      </c>
    </row>
    <row r="7" spans="1:7" ht="10.199999999999999" customHeight="1" x14ac:dyDescent="0.3">
      <c r="A7" s="61"/>
      <c r="B7" s="62"/>
      <c r="C7" s="62"/>
      <c r="D7" s="62"/>
      <c r="E7" s="62"/>
      <c r="F7" s="62"/>
      <c r="G7" s="62"/>
    </row>
    <row r="8" spans="1:7" ht="57" customHeight="1" x14ac:dyDescent="0.3">
      <c r="A8" s="5" t="s">
        <v>195</v>
      </c>
      <c r="B8" s="5" t="s">
        <v>1304</v>
      </c>
      <c r="C8" s="5" t="s">
        <v>180</v>
      </c>
      <c r="D8" s="5" t="s">
        <v>1318</v>
      </c>
      <c r="E8" s="5" t="s">
        <v>1317</v>
      </c>
      <c r="F8" s="5" t="s">
        <v>1305</v>
      </c>
      <c r="G8" s="5" t="s">
        <v>1306</v>
      </c>
    </row>
    <row r="9" spans="1:7" x14ac:dyDescent="0.3">
      <c r="A9" s="5" t="s">
        <v>1311</v>
      </c>
      <c r="B9" s="1"/>
      <c r="C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9922-047B-4E45-9556-5C2AEB30CE8C}">
  <sheetPr>
    <tabColor theme="4"/>
  </sheetPr>
  <dimension ref="A1:I9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RowHeight="14.4" x14ac:dyDescent="0.3"/>
  <cols>
    <col min="1" max="1" width="9" customWidth="1"/>
    <col min="2" max="2" width="24.77734375" customWidth="1"/>
    <col min="3" max="3" width="26.6640625" customWidth="1"/>
    <col min="4" max="4" width="23.33203125" customWidth="1"/>
    <col min="5" max="5" width="45.6640625" customWidth="1"/>
    <col min="6" max="6" width="23.33203125" customWidth="1"/>
    <col min="7" max="7" width="27.77734375" customWidth="1"/>
    <col min="8" max="8" width="27.88671875" customWidth="1"/>
    <col min="9" max="9" width="26.88671875" customWidth="1"/>
  </cols>
  <sheetData>
    <row r="1" spans="1:9" x14ac:dyDescent="0.3">
      <c r="A1" s="17"/>
      <c r="B1" s="4"/>
      <c r="C1" s="4"/>
    </row>
    <row r="2" spans="1:9" ht="31.2" x14ac:dyDescent="0.6">
      <c r="A2" s="17"/>
      <c r="B2" s="21" t="s">
        <v>32</v>
      </c>
      <c r="C2" s="4"/>
    </row>
    <row r="3" spans="1:9" x14ac:dyDescent="0.3">
      <c r="A3" s="17"/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/>
      </c>
      <c r="C3" s="4"/>
    </row>
    <row r="4" spans="1:9" x14ac:dyDescent="0.3">
      <c r="A4" s="17"/>
      <c r="B4" s="4"/>
      <c r="C4" s="4"/>
    </row>
    <row r="5" spans="1:9" ht="47.4" customHeight="1" x14ac:dyDescent="0.3">
      <c r="A5" s="47"/>
      <c r="B5" s="46" t="s">
        <v>845</v>
      </c>
      <c r="C5" s="46" t="s">
        <v>846</v>
      </c>
      <c r="D5" s="46"/>
      <c r="E5" s="46" t="s">
        <v>847</v>
      </c>
      <c r="F5" s="46"/>
      <c r="G5" s="46" t="s">
        <v>848</v>
      </c>
      <c r="H5" s="46" t="s">
        <v>849</v>
      </c>
      <c r="I5" s="46" t="s">
        <v>850</v>
      </c>
    </row>
    <row r="6" spans="1:9" x14ac:dyDescent="0.3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</row>
    <row r="7" spans="1:9" ht="9" customHeight="1" x14ac:dyDescent="0.3">
      <c r="A7" s="16"/>
      <c r="B7" s="34"/>
      <c r="C7" s="34"/>
      <c r="D7" s="16"/>
      <c r="E7" s="34"/>
      <c r="F7" s="16"/>
      <c r="G7" s="34"/>
      <c r="H7" s="34"/>
      <c r="I7" s="34"/>
    </row>
    <row r="8" spans="1:9" s="5" customFormat="1" ht="30" customHeight="1" x14ac:dyDescent="0.3">
      <c r="A8" s="5" t="s">
        <v>195</v>
      </c>
      <c r="B8" s="5" t="s">
        <v>843</v>
      </c>
      <c r="C8" s="5" t="s">
        <v>840</v>
      </c>
      <c r="D8" s="5" t="s">
        <v>841</v>
      </c>
      <c r="E8" s="5" t="s">
        <v>886</v>
      </c>
      <c r="F8" s="5" t="s">
        <v>887</v>
      </c>
      <c r="G8" s="5" t="s">
        <v>104</v>
      </c>
      <c r="H8" s="5" t="s">
        <v>844</v>
      </c>
      <c r="I8" s="5" t="s">
        <v>842</v>
      </c>
    </row>
    <row r="9" spans="1:9" s="4" customFormat="1" x14ac:dyDescent="0.3">
      <c r="A9" s="5" t="s">
        <v>890</v>
      </c>
      <c r="B9" s="1"/>
      <c r="C9" s="1"/>
    </row>
  </sheetData>
  <dataValidations count="3">
    <dataValidation type="list" allowBlank="1" showInputMessage="1" showErrorMessage="1" sqref="D9" xr:uid="{73E2BB7F-B5DE-4A25-B448-7A743CF75460}">
      <formula1>rng\Receiver.Scope</formula1>
    </dataValidation>
    <dataValidation type="list" allowBlank="1" showInputMessage="1" showErrorMessage="1" sqref="C9" xr:uid="{947891AD-6036-45B7-AE02-FEAE5901805C}">
      <formula1>rng\Receiver.Mode</formula1>
    </dataValidation>
    <dataValidation type="list" allowBlank="1" showInputMessage="1" showErrorMessage="1" sqref="F9" xr:uid="{D54CA5FD-51FB-4219-BEBE-A0250257B60E}">
      <formula1>rng\Receiver.Type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ECA6-01A0-4DA8-B8E4-7FAE729A4CFC}">
  <sheetPr>
    <tabColor theme="4"/>
  </sheetPr>
  <dimension ref="A2:F9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E16" sqref="E16"/>
    </sheetView>
  </sheetViews>
  <sheetFormatPr defaultRowHeight="14.4" x14ac:dyDescent="0.3"/>
  <cols>
    <col min="1" max="1" width="11.44140625" customWidth="1"/>
    <col min="2" max="2" width="27.21875" customWidth="1"/>
    <col min="3" max="3" width="22.88671875" customWidth="1"/>
    <col min="4" max="4" width="19.33203125" customWidth="1"/>
    <col min="5" max="5" width="18.5546875" customWidth="1"/>
    <col min="6" max="6" width="22.109375" style="9" customWidth="1"/>
  </cols>
  <sheetData>
    <row r="2" spans="1:6" ht="31.2" x14ac:dyDescent="0.6">
      <c r="B2" s="21" t="s">
        <v>299</v>
      </c>
    </row>
    <row r="3" spans="1:6" ht="14.4" customHeight="1" x14ac:dyDescent="0.3"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>Wersja: 2.0 | Data ostatniej zmiany: 02.02.2026</v>
      </c>
    </row>
    <row r="4" spans="1:6" ht="18.600000000000001" customHeight="1" x14ac:dyDescent="0.6">
      <c r="B4" s="21"/>
    </row>
    <row r="5" spans="1:6" s="45" customFormat="1" ht="22.2" customHeight="1" x14ac:dyDescent="0.3">
      <c r="A5" s="49"/>
      <c r="B5" s="49"/>
      <c r="C5" s="49"/>
      <c r="D5" s="49"/>
      <c r="E5" s="49"/>
      <c r="F5" s="49"/>
    </row>
    <row r="6" spans="1:6" ht="20.399999999999999" customHeight="1" x14ac:dyDescent="0.3">
      <c r="A6" s="14">
        <v>1</v>
      </c>
      <c r="B6" s="14">
        <v>2</v>
      </c>
      <c r="C6" s="14">
        <v>3</v>
      </c>
      <c r="D6" s="14">
        <v>4</v>
      </c>
      <c r="E6" s="14">
        <v>5</v>
      </c>
      <c r="F6" s="14">
        <v>6</v>
      </c>
    </row>
    <row r="7" spans="1:6" ht="9.6" customHeight="1" x14ac:dyDescent="0.3">
      <c r="A7" s="3"/>
      <c r="B7" s="42"/>
      <c r="C7" s="3"/>
      <c r="D7" s="3"/>
      <c r="E7" s="3"/>
      <c r="F7" s="39"/>
    </row>
    <row r="8" spans="1:6" ht="28.2" customHeight="1" x14ac:dyDescent="0.3">
      <c r="A8" s="6" t="s">
        <v>195</v>
      </c>
      <c r="B8" s="6" t="s">
        <v>3</v>
      </c>
      <c r="C8" s="6" t="s">
        <v>4</v>
      </c>
      <c r="D8" s="6" t="s">
        <v>5</v>
      </c>
      <c r="E8" s="6" t="s">
        <v>6</v>
      </c>
      <c r="F8" s="6" t="s">
        <v>1365</v>
      </c>
    </row>
    <row r="9" spans="1:6" x14ac:dyDescent="0.3">
      <c r="A9" s="5" t="s">
        <v>297</v>
      </c>
      <c r="B9" s="1"/>
      <c r="C9" s="1"/>
      <c r="D9" s="1"/>
      <c r="E9" s="1"/>
      <c r="F9" s="5" t="str">
        <f t="shared" ref="F9" si="0">"Link"</f>
        <v>Link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8553-F281-418C-AE73-38234A2B0F6E}">
  <sheetPr>
    <tabColor theme="5"/>
  </sheetPr>
  <dimension ref="A2:B7"/>
  <sheetViews>
    <sheetView showGridLines="0" workbookViewId="0">
      <pane ySplit="7" topLeftCell="A8" activePane="bottomLeft" state="frozen"/>
      <selection pane="bottomLeft" activeCell="B10" sqref="B10"/>
    </sheetView>
  </sheetViews>
  <sheetFormatPr defaultRowHeight="14.4" x14ac:dyDescent="0.3"/>
  <cols>
    <col min="1" max="1" width="50.21875" customWidth="1"/>
    <col min="2" max="2" width="95.88671875" customWidth="1"/>
  </cols>
  <sheetData>
    <row r="2" spans="1:2" ht="31.2" x14ac:dyDescent="0.6">
      <c r="A2" s="21" t="s">
        <v>381</v>
      </c>
      <c r="B2" s="21"/>
    </row>
    <row r="3" spans="1:2" ht="31.2" x14ac:dyDescent="0.6">
      <c r="B3" s="21"/>
    </row>
    <row r="4" spans="1:2" x14ac:dyDescent="0.3">
      <c r="A4" s="49"/>
      <c r="B4" s="49"/>
    </row>
    <row r="5" spans="1:2" x14ac:dyDescent="0.3">
      <c r="A5" s="14">
        <v>1</v>
      </c>
      <c r="B5" s="14">
        <v>2</v>
      </c>
    </row>
    <row r="6" spans="1:2" x14ac:dyDescent="0.3">
      <c r="A6" s="3"/>
      <c r="B6" s="42"/>
    </row>
    <row r="7" spans="1:2" x14ac:dyDescent="0.3">
      <c r="A7" t="s">
        <v>108</v>
      </c>
      <c r="B7" t="s">
        <v>196</v>
      </c>
    </row>
  </sheetData>
  <dataValidations count="2">
    <dataValidation type="list" allowBlank="1" showInputMessage="1" showErrorMessage="1" sqref="A8:A56" xr:uid="{DD4256B0-E5F9-4E2E-AAC8-5E2E89B9765B}">
      <formula1>arr\Dict.Authorizations</formula1>
    </dataValidation>
    <dataValidation type="list" allowBlank="1" showInputMessage="1" showErrorMessage="1" sqref="B8:B56" xr:uid="{1471CAFB-8673-435F-BC3E-08A633183E60}">
      <formula1>arr\Dict.Processing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345F-735B-46AC-B972-0DAA2FBFE5C6}">
  <sheetPr>
    <tabColor theme="4"/>
  </sheetPr>
  <dimension ref="A1:G9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B19" sqref="B19"/>
    </sheetView>
  </sheetViews>
  <sheetFormatPr defaultColWidth="33.109375" defaultRowHeight="18.600000000000001" customHeight="1" x14ac:dyDescent="0.3"/>
  <cols>
    <col min="1" max="1" width="12.109375" style="9" customWidth="1"/>
    <col min="2" max="2" width="40" customWidth="1"/>
    <col min="3" max="3" width="33.88671875" customWidth="1"/>
    <col min="4" max="4" width="22.44140625" customWidth="1"/>
    <col min="5" max="5" width="16" customWidth="1"/>
    <col min="6" max="6" width="16" style="9" customWidth="1"/>
    <col min="7" max="7" width="54.21875" customWidth="1"/>
  </cols>
  <sheetData>
    <row r="1" spans="1:7" ht="18.600000000000001" customHeight="1" x14ac:dyDescent="0.3">
      <c r="A1"/>
    </row>
    <row r="2" spans="1:7" ht="28.2" customHeight="1" x14ac:dyDescent="0.6">
      <c r="A2"/>
      <c r="B2" s="21" t="s">
        <v>233</v>
      </c>
    </row>
    <row r="3" spans="1:7" ht="12" customHeight="1" x14ac:dyDescent="0.3">
      <c r="A3"/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/>
      </c>
    </row>
    <row r="4" spans="1:7" ht="18.600000000000001" customHeight="1" x14ac:dyDescent="0.6">
      <c r="A4"/>
      <c r="B4" s="21"/>
    </row>
    <row r="5" spans="1:7" ht="18.600000000000001" customHeight="1" x14ac:dyDescent="0.3">
      <c r="A5" s="49"/>
      <c r="B5" s="49"/>
      <c r="C5" s="49"/>
      <c r="D5" s="49"/>
      <c r="E5" s="49"/>
      <c r="F5" s="49"/>
      <c r="G5" s="49"/>
    </row>
    <row r="6" spans="1:7" ht="18.600000000000001" customHeight="1" x14ac:dyDescent="0.3">
      <c r="A6" s="14">
        <v>1</v>
      </c>
      <c r="B6" s="14">
        <v>2</v>
      </c>
      <c r="C6" s="14">
        <v>3</v>
      </c>
      <c r="D6" s="14">
        <v>4</v>
      </c>
      <c r="E6" s="14">
        <v>5</v>
      </c>
      <c r="F6" s="14">
        <v>6</v>
      </c>
      <c r="G6" s="14">
        <v>7</v>
      </c>
    </row>
    <row r="7" spans="1:7" ht="8.4" customHeight="1" x14ac:dyDescent="0.3">
      <c r="A7" s="3"/>
      <c r="B7" s="42"/>
      <c r="C7" s="3"/>
      <c r="D7" s="3"/>
      <c r="E7" s="3"/>
      <c r="F7" s="39"/>
      <c r="G7" s="3"/>
    </row>
    <row r="8" spans="1:7" ht="27.6" customHeight="1" x14ac:dyDescent="0.3">
      <c r="A8" s="6" t="s">
        <v>195</v>
      </c>
      <c r="B8" s="6" t="s">
        <v>3</v>
      </c>
      <c r="C8" s="6" t="s">
        <v>4</v>
      </c>
      <c r="D8" s="6" t="s">
        <v>5</v>
      </c>
      <c r="E8" s="6" t="s">
        <v>6</v>
      </c>
      <c r="F8" s="6" t="s">
        <v>1366</v>
      </c>
      <c r="G8" s="6" t="s">
        <v>0</v>
      </c>
    </row>
    <row r="9" spans="1:7" ht="14.4" x14ac:dyDescent="0.3">
      <c r="A9" s="5" t="s">
        <v>291</v>
      </c>
      <c r="B9" s="1" t="s">
        <v>2</v>
      </c>
      <c r="C9" s="1"/>
      <c r="D9" s="1"/>
      <c r="E9" s="1"/>
      <c r="F9" s="5" t="str">
        <f t="shared" ref="F9" si="0">"Link"</f>
        <v>Link</v>
      </c>
      <c r="G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6232-C207-41B3-AD1F-212A38FDE680}">
  <sheetPr>
    <tabColor theme="5"/>
  </sheetPr>
  <dimension ref="A2:B9"/>
  <sheetViews>
    <sheetView showGridLines="0" workbookViewId="0">
      <pane ySplit="7" topLeftCell="A8" activePane="bottomLeft" state="frozen"/>
      <selection pane="bottomLeft" activeCell="B13" sqref="B13"/>
    </sheetView>
  </sheetViews>
  <sheetFormatPr defaultRowHeight="14.4" x14ac:dyDescent="0.3"/>
  <cols>
    <col min="1" max="1" width="50.21875" customWidth="1"/>
    <col min="2" max="2" width="95.88671875" customWidth="1"/>
  </cols>
  <sheetData>
    <row r="2" spans="1:2" ht="31.2" x14ac:dyDescent="0.6">
      <c r="A2" s="21" t="s">
        <v>381</v>
      </c>
      <c r="B2" s="21"/>
    </row>
    <row r="3" spans="1:2" ht="31.2" x14ac:dyDescent="0.6">
      <c r="B3" s="21"/>
    </row>
    <row r="4" spans="1:2" x14ac:dyDescent="0.3">
      <c r="A4" s="49"/>
      <c r="B4" s="49"/>
    </row>
    <row r="5" spans="1:2" x14ac:dyDescent="0.3">
      <c r="A5" s="14">
        <v>1</v>
      </c>
      <c r="B5" s="14">
        <v>2</v>
      </c>
    </row>
    <row r="6" spans="1:2" x14ac:dyDescent="0.3">
      <c r="A6" s="3"/>
      <c r="B6" s="42"/>
    </row>
    <row r="7" spans="1:2" x14ac:dyDescent="0.3">
      <c r="A7" t="s">
        <v>103</v>
      </c>
      <c r="B7" t="s">
        <v>196</v>
      </c>
    </row>
    <row r="8" spans="1:2" x14ac:dyDescent="0.3">
      <c r="A8" t="s">
        <v>2</v>
      </c>
      <c r="B8" t="s">
        <v>198</v>
      </c>
    </row>
    <row r="9" spans="1:2" x14ac:dyDescent="0.3">
      <c r="A9" t="s">
        <v>2</v>
      </c>
      <c r="B9" t="s">
        <v>201</v>
      </c>
    </row>
  </sheetData>
  <dataValidations count="2">
    <dataValidation type="list" allowBlank="1" showInputMessage="1" showErrorMessage="1" sqref="B8:B55" xr:uid="{BFCA9912-0886-41BE-AB35-834449508703}">
      <formula1>arr\Dict.Processing</formula1>
    </dataValidation>
    <dataValidation type="list" allowBlank="1" showInputMessage="1" showErrorMessage="1" sqref="A8:A55" xr:uid="{E5EEF959-BA60-4B73-A27E-AA79CD9078DA}">
      <formula1>arr\Dict.Processors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D582-05EE-4348-B28C-B81FFF4595E5}">
  <sheetPr>
    <tabColor theme="4"/>
  </sheetPr>
  <dimension ref="A2:E10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12" sqref="B12"/>
    </sheetView>
  </sheetViews>
  <sheetFormatPr defaultRowHeight="14.4" x14ac:dyDescent="0.3"/>
  <cols>
    <col min="1" max="1" width="12.33203125" customWidth="1"/>
    <col min="2" max="2" width="44.77734375" customWidth="1"/>
    <col min="3" max="3" width="16.5546875" customWidth="1"/>
    <col min="4" max="4" width="17.77734375" customWidth="1"/>
    <col min="5" max="5" width="23.21875" customWidth="1"/>
  </cols>
  <sheetData>
    <row r="2" spans="1:5" ht="31.2" x14ac:dyDescent="0.6">
      <c r="B2" s="21" t="s">
        <v>300</v>
      </c>
    </row>
    <row r="3" spans="1:5" ht="14.4" customHeight="1" x14ac:dyDescent="0.3"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/>
      </c>
    </row>
    <row r="4" spans="1:5" ht="12.6" customHeight="1" x14ac:dyDescent="0.6">
      <c r="B4" s="21"/>
    </row>
    <row r="5" spans="1:5" ht="22.8" customHeight="1" x14ac:dyDescent="0.3">
      <c r="A5" s="49"/>
      <c r="B5" s="49"/>
      <c r="C5" s="49"/>
      <c r="D5" s="49"/>
      <c r="E5" s="49"/>
    </row>
    <row r="6" spans="1:5" x14ac:dyDescent="0.3">
      <c r="A6" s="14">
        <v>1</v>
      </c>
      <c r="B6" s="14">
        <v>2</v>
      </c>
      <c r="C6" s="14">
        <v>3</v>
      </c>
      <c r="D6" s="14">
        <v>4</v>
      </c>
      <c r="E6" s="14">
        <v>5</v>
      </c>
    </row>
    <row r="7" spans="1:5" ht="8.4" customHeight="1" x14ac:dyDescent="0.3">
      <c r="A7" s="3"/>
      <c r="B7" s="42"/>
      <c r="C7" s="3"/>
      <c r="D7" s="3"/>
      <c r="E7" s="3"/>
    </row>
    <row r="8" spans="1:5" ht="28.2" customHeight="1" x14ac:dyDescent="0.3">
      <c r="A8" s="6" t="s">
        <v>195</v>
      </c>
      <c r="B8" s="6" t="s">
        <v>3</v>
      </c>
      <c r="C8" s="6" t="s">
        <v>4</v>
      </c>
      <c r="D8" s="6" t="s">
        <v>5</v>
      </c>
      <c r="E8" s="6" t="s">
        <v>6</v>
      </c>
    </row>
    <row r="9" spans="1:5" x14ac:dyDescent="0.3">
      <c r="A9" s="5" t="s">
        <v>293</v>
      </c>
      <c r="B9" s="1"/>
      <c r="C9" s="1"/>
      <c r="D9" s="1"/>
      <c r="E9" s="1"/>
    </row>
    <row r="10" spans="1:5" x14ac:dyDescent="0.3">
      <c r="A10" s="5"/>
      <c r="B10" s="1"/>
      <c r="C10" s="1"/>
      <c r="D10" s="1"/>
      <c r="E1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4DD8-454D-45A6-907C-6383A5713A57}">
  <sheetPr>
    <tabColor theme="5"/>
  </sheetPr>
  <dimension ref="A2:B7"/>
  <sheetViews>
    <sheetView showGridLines="0" workbookViewId="0">
      <pane ySplit="7" topLeftCell="A8" activePane="bottomLeft" state="frozen"/>
      <selection pane="bottomLeft" activeCell="A8" sqref="A8:XFD8"/>
    </sheetView>
  </sheetViews>
  <sheetFormatPr defaultRowHeight="14.4" x14ac:dyDescent="0.3"/>
  <cols>
    <col min="1" max="1" width="50.21875" customWidth="1"/>
    <col min="2" max="2" width="95.88671875" customWidth="1"/>
  </cols>
  <sheetData>
    <row r="2" spans="1:2" ht="31.2" x14ac:dyDescent="0.6">
      <c r="A2" s="21" t="s">
        <v>382</v>
      </c>
      <c r="B2" s="21"/>
    </row>
    <row r="3" spans="1:2" ht="16.8" customHeight="1" x14ac:dyDescent="0.6">
      <c r="B3" s="21"/>
    </row>
    <row r="4" spans="1:2" ht="25.2" customHeight="1" x14ac:dyDescent="0.3">
      <c r="A4" s="49"/>
      <c r="B4" s="49"/>
    </row>
    <row r="5" spans="1:2" x14ac:dyDescent="0.3">
      <c r="A5" s="14">
        <v>1</v>
      </c>
      <c r="B5" s="14">
        <v>2</v>
      </c>
    </row>
    <row r="6" spans="1:2" ht="10.8" customHeight="1" x14ac:dyDescent="0.3">
      <c r="A6" s="42"/>
      <c r="B6" s="42"/>
    </row>
    <row r="7" spans="1:2" s="10" customFormat="1" ht="29.4" customHeight="1" x14ac:dyDescent="0.3">
      <c r="A7" s="10" t="s">
        <v>11</v>
      </c>
      <c r="B7" s="10" t="s">
        <v>196</v>
      </c>
    </row>
  </sheetData>
  <dataValidations count="2">
    <dataValidation type="list" allowBlank="1" showInputMessage="1" showErrorMessage="1" sqref="B8:B56" xr:uid="{678A7A68-C9DA-45FB-A99A-25B53B299E1B}">
      <formula1>arr\Dict.Processing</formula1>
    </dataValidation>
    <dataValidation type="list" allowBlank="1" showInputMessage="1" showErrorMessage="1" sqref="A8:A56" xr:uid="{C4B3752E-20D8-4E6B-A2A5-43034805CD22}">
      <formula1>arr\Dict.Admins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966F-8C6A-480F-A781-B179819C3391}">
  <sheetPr>
    <tabColor theme="4"/>
  </sheetPr>
  <dimension ref="A2:C13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24" sqref="C24"/>
    </sheetView>
  </sheetViews>
  <sheetFormatPr defaultRowHeight="14.4" x14ac:dyDescent="0.3"/>
  <cols>
    <col min="2" max="2" width="32.44140625" customWidth="1"/>
    <col min="3" max="3" width="70.44140625" customWidth="1"/>
  </cols>
  <sheetData>
    <row r="2" spans="1:3" ht="31.2" x14ac:dyDescent="0.6">
      <c r="B2" s="21" t="s">
        <v>379</v>
      </c>
    </row>
    <row r="3" spans="1:3" ht="12.6" customHeight="1" x14ac:dyDescent="0.3">
      <c r="B3" s="53" t="str" cm="1">
        <f t="array" ref="B3">IFERROR(INDEX(
    "Wersja: " &amp; tab\LOG[Wersja] &amp; " | Data ostatniej zmiany: " &amp; TEXT(tab\LOG[Data], "dd.mm.rrrr") &amp;"",
    MATCH(
        _xlfn.AGGREGATE(14,6,tab\LOG[Data]/(tab\LOG[Dokument]=B2),1),
        tab\LOG[Data],
        0
    )
),"")</f>
        <v/>
      </c>
    </row>
    <row r="4" spans="1:3" ht="15.6" customHeight="1" x14ac:dyDescent="0.6">
      <c r="B4" s="21"/>
    </row>
    <row r="5" spans="1:3" ht="28.2" customHeight="1" x14ac:dyDescent="0.3">
      <c r="A5" s="49"/>
      <c r="B5" s="49"/>
      <c r="C5" s="49"/>
    </row>
    <row r="6" spans="1:3" x14ac:dyDescent="0.3">
      <c r="A6" s="14">
        <v>1</v>
      </c>
      <c r="B6" s="14">
        <v>2</v>
      </c>
      <c r="C6" s="14">
        <v>3</v>
      </c>
    </row>
    <row r="7" spans="1:3" ht="9.6" customHeight="1" x14ac:dyDescent="0.3">
      <c r="A7" s="3"/>
      <c r="B7" s="42"/>
      <c r="C7" s="3"/>
    </row>
    <row r="8" spans="1:3" ht="22.8" customHeight="1" x14ac:dyDescent="0.3">
      <c r="A8" s="6" t="s">
        <v>195</v>
      </c>
      <c r="B8" s="6" t="s">
        <v>3</v>
      </c>
      <c r="C8" s="6" t="s">
        <v>295</v>
      </c>
    </row>
    <row r="9" spans="1:3" x14ac:dyDescent="0.3">
      <c r="A9" s="5" t="s">
        <v>294</v>
      </c>
      <c r="B9" s="1" t="s">
        <v>2</v>
      </c>
      <c r="C9" s="1" t="s">
        <v>296</v>
      </c>
    </row>
    <row r="10" spans="1:3" x14ac:dyDescent="0.3">
      <c r="A10" s="5" t="s">
        <v>363</v>
      </c>
      <c r="B10" s="1" t="s">
        <v>364</v>
      </c>
      <c r="C10" s="1" t="s">
        <v>365</v>
      </c>
    </row>
    <row r="11" spans="1:3" x14ac:dyDescent="0.3">
      <c r="A11" s="5" t="s">
        <v>368</v>
      </c>
      <c r="B11" s="1" t="s">
        <v>366</v>
      </c>
      <c r="C11" s="1" t="s">
        <v>365</v>
      </c>
    </row>
    <row r="12" spans="1:3" x14ac:dyDescent="0.3">
      <c r="A12" s="5" t="s">
        <v>369</v>
      </c>
      <c r="B12" s="1" t="s">
        <v>367</v>
      </c>
      <c r="C12" s="1" t="s">
        <v>365</v>
      </c>
    </row>
    <row r="13" spans="1:3" x14ac:dyDescent="0.3">
      <c r="A13" s="5" t="s">
        <v>370</v>
      </c>
      <c r="B13" s="1" t="s">
        <v>372</v>
      </c>
      <c r="C13" s="1" t="s">
        <v>371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F034-7FDC-4A25-839D-F5C50C69375A}">
  <sheetPr>
    <tabColor theme="5"/>
  </sheetPr>
  <dimension ref="A2:B10"/>
  <sheetViews>
    <sheetView showGridLines="0" workbookViewId="0">
      <pane ySplit="7" topLeftCell="A8" activePane="bottomLeft" state="frozen"/>
      <selection pane="bottomLeft" activeCell="E19" sqref="E19"/>
    </sheetView>
  </sheetViews>
  <sheetFormatPr defaultRowHeight="14.4" x14ac:dyDescent="0.3"/>
  <cols>
    <col min="1" max="1" width="50.21875" customWidth="1"/>
    <col min="2" max="2" width="95.88671875" customWidth="1"/>
  </cols>
  <sheetData>
    <row r="2" spans="1:2" ht="31.2" x14ac:dyDescent="0.6">
      <c r="A2" s="21" t="s">
        <v>380</v>
      </c>
    </row>
    <row r="3" spans="1:2" ht="20.399999999999999" customHeight="1" x14ac:dyDescent="0.6">
      <c r="B3" s="21"/>
    </row>
    <row r="4" spans="1:2" ht="28.2" customHeight="1" x14ac:dyDescent="0.3">
      <c r="A4" s="49"/>
      <c r="B4" s="49"/>
    </row>
    <row r="5" spans="1:2" x14ac:dyDescent="0.3">
      <c r="A5" s="14">
        <v>1</v>
      </c>
      <c r="B5" s="14">
        <v>2</v>
      </c>
    </row>
    <row r="6" spans="1:2" ht="10.199999999999999" customHeight="1" x14ac:dyDescent="0.3">
      <c r="A6" s="42"/>
      <c r="B6" s="42"/>
    </row>
    <row r="7" spans="1:2" s="10" customFormat="1" ht="28.8" customHeight="1" x14ac:dyDescent="0.3">
      <c r="A7" s="10" t="s">
        <v>194</v>
      </c>
      <c r="B7" s="10" t="s">
        <v>196</v>
      </c>
    </row>
    <row r="8" spans="1:2" x14ac:dyDescent="0.3">
      <c r="A8" t="s">
        <v>2</v>
      </c>
      <c r="B8" t="s">
        <v>198</v>
      </c>
    </row>
    <row r="9" spans="1:2" x14ac:dyDescent="0.3">
      <c r="A9" t="s">
        <v>2</v>
      </c>
      <c r="B9" t="s">
        <v>201</v>
      </c>
    </row>
    <row r="10" spans="1:2" x14ac:dyDescent="0.3">
      <c r="A10" t="s">
        <v>367</v>
      </c>
      <c r="B10" t="s">
        <v>210</v>
      </c>
    </row>
  </sheetData>
  <dataValidations disablePrompts="1" count="2">
    <dataValidation type="list" allowBlank="1" showInputMessage="1" showErrorMessage="1" sqref="B8:B56" xr:uid="{DEC58DD7-E5CD-4870-A23B-C2CC995FB2C2}">
      <formula1>arr\Dict.Processing</formula1>
    </dataValidation>
    <dataValidation type="list" allowBlank="1" showInputMessage="1" showErrorMessage="1" sqref="A8:A56" xr:uid="{FE7C8024-E72D-4EF3-AECD-78D16FB9AD5B}">
      <formula1>arr\Dict.Systems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6CAA-7E9B-4FB3-AA4B-344EA15AEA63}">
  <sheetPr>
    <tabColor theme="1"/>
  </sheetPr>
  <dimension ref="A1:D69"/>
  <sheetViews>
    <sheetView showGridLines="0" workbookViewId="0">
      <pane ySplit="7" topLeftCell="A8" activePane="bottomLeft" state="frozen"/>
      <selection pane="bottomLeft" activeCell="C20" sqref="C20"/>
    </sheetView>
  </sheetViews>
  <sheetFormatPr defaultColWidth="57.88671875" defaultRowHeight="14.4" x14ac:dyDescent="0.3"/>
  <cols>
    <col min="1" max="1" width="10.5546875" style="9" customWidth="1"/>
    <col min="2" max="2" width="25.5546875" style="9" customWidth="1"/>
    <col min="3" max="3" width="46.5546875" customWidth="1"/>
  </cols>
  <sheetData>
    <row r="1" spans="1:4" x14ac:dyDescent="0.3">
      <c r="A1"/>
    </row>
    <row r="2" spans="1:4" ht="31.2" x14ac:dyDescent="0.6">
      <c r="A2"/>
      <c r="B2" s="26" t="s">
        <v>1038</v>
      </c>
    </row>
    <row r="3" spans="1:4" ht="18" customHeight="1" x14ac:dyDescent="0.6">
      <c r="A3"/>
      <c r="B3" s="56"/>
    </row>
    <row r="4" spans="1:4" ht="24.6" customHeight="1" x14ac:dyDescent="0.3">
      <c r="A4" s="49"/>
      <c r="B4" s="49"/>
      <c r="C4" s="49"/>
      <c r="D4" s="49"/>
    </row>
    <row r="5" spans="1:4" x14ac:dyDescent="0.3">
      <c r="A5" s="14">
        <v>1</v>
      </c>
      <c r="B5" s="14">
        <v>2</v>
      </c>
      <c r="C5" s="14">
        <v>3</v>
      </c>
      <c r="D5" s="14">
        <v>4</v>
      </c>
    </row>
    <row r="6" spans="1:4" ht="10.199999999999999" customHeight="1" x14ac:dyDescent="0.3">
      <c r="A6" s="3"/>
      <c r="B6" s="39"/>
      <c r="C6" s="42"/>
      <c r="D6" s="3"/>
    </row>
    <row r="7" spans="1:4" ht="20.399999999999999" customHeight="1" x14ac:dyDescent="0.3">
      <c r="A7" s="6" t="s">
        <v>195</v>
      </c>
      <c r="B7" s="6" t="s">
        <v>56</v>
      </c>
      <c r="C7" s="6" t="s">
        <v>1054</v>
      </c>
      <c r="D7" s="6" t="s">
        <v>0</v>
      </c>
    </row>
    <row r="8" spans="1:4" ht="28.8" x14ac:dyDescent="0.3">
      <c r="A8" s="5" t="s">
        <v>1039</v>
      </c>
      <c r="B8" s="5" t="s">
        <v>1056</v>
      </c>
      <c r="C8" s="1" t="s">
        <v>1057</v>
      </c>
      <c r="D8" s="1" t="s">
        <v>1058</v>
      </c>
    </row>
    <row r="9" spans="1:4" x14ac:dyDescent="0.3">
      <c r="A9" s="5" t="s">
        <v>1040</v>
      </c>
      <c r="B9" s="5" t="s">
        <v>1056</v>
      </c>
      <c r="C9" s="1" t="s">
        <v>1004</v>
      </c>
      <c r="D9" s="1" t="s">
        <v>1059</v>
      </c>
    </row>
    <row r="10" spans="1:4" ht="28.8" x14ac:dyDescent="0.3">
      <c r="A10" s="5" t="s">
        <v>1041</v>
      </c>
      <c r="B10" s="5" t="s">
        <v>1056</v>
      </c>
      <c r="C10" s="1" t="s">
        <v>1060</v>
      </c>
      <c r="D10" s="1" t="s">
        <v>1061</v>
      </c>
    </row>
    <row r="11" spans="1:4" ht="28.8" x14ac:dyDescent="0.3">
      <c r="A11" s="5" t="s">
        <v>1042</v>
      </c>
      <c r="B11" s="5" t="s">
        <v>1056</v>
      </c>
      <c r="C11" s="1" t="s">
        <v>1062</v>
      </c>
      <c r="D11" s="1" t="s">
        <v>1063</v>
      </c>
    </row>
    <row r="12" spans="1:4" ht="28.8" x14ac:dyDescent="0.3">
      <c r="A12" s="5" t="s">
        <v>1043</v>
      </c>
      <c r="B12" s="5" t="s">
        <v>1056</v>
      </c>
      <c r="C12" s="1" t="s">
        <v>1064</v>
      </c>
      <c r="D12" s="1" t="s">
        <v>1065</v>
      </c>
    </row>
    <row r="13" spans="1:4" x14ac:dyDescent="0.3">
      <c r="A13" s="5" t="s">
        <v>1044</v>
      </c>
      <c r="B13" s="5" t="s">
        <v>1066</v>
      </c>
      <c r="C13" s="1" t="s">
        <v>1067</v>
      </c>
      <c r="D13" s="1" t="s">
        <v>1068</v>
      </c>
    </row>
    <row r="14" spans="1:4" x14ac:dyDescent="0.3">
      <c r="A14" s="5" t="s">
        <v>1045</v>
      </c>
      <c r="B14" s="5" t="s">
        <v>1066</v>
      </c>
      <c r="C14" s="1" t="s">
        <v>1069</v>
      </c>
      <c r="D14" s="1" t="s">
        <v>1070</v>
      </c>
    </row>
    <row r="15" spans="1:4" ht="28.8" x14ac:dyDescent="0.3">
      <c r="A15" s="5" t="s">
        <v>1046</v>
      </c>
      <c r="B15" s="5" t="s">
        <v>1066</v>
      </c>
      <c r="C15" s="1" t="s">
        <v>1071</v>
      </c>
      <c r="D15" s="1" t="s">
        <v>1072</v>
      </c>
    </row>
    <row r="16" spans="1:4" ht="28.8" x14ac:dyDescent="0.3">
      <c r="A16" s="5" t="s">
        <v>1047</v>
      </c>
      <c r="B16" s="5" t="s">
        <v>1073</v>
      </c>
      <c r="C16" s="1" t="s">
        <v>1074</v>
      </c>
      <c r="D16" s="1" t="s">
        <v>1075</v>
      </c>
    </row>
    <row r="17" spans="1:4" ht="28.8" x14ac:dyDescent="0.3">
      <c r="A17" s="5" t="s">
        <v>1048</v>
      </c>
      <c r="B17" s="5" t="s">
        <v>1073</v>
      </c>
      <c r="C17" s="1" t="s">
        <v>1076</v>
      </c>
      <c r="D17" s="1" t="s">
        <v>1077</v>
      </c>
    </row>
    <row r="18" spans="1:4" ht="28.8" x14ac:dyDescent="0.3">
      <c r="A18" s="5" t="s">
        <v>1049</v>
      </c>
      <c r="B18" s="5" t="s">
        <v>1073</v>
      </c>
      <c r="C18" s="1" t="s">
        <v>1078</v>
      </c>
      <c r="D18" s="1" t="s">
        <v>1079</v>
      </c>
    </row>
    <row r="19" spans="1:4" x14ac:dyDescent="0.3">
      <c r="A19" s="5" t="s">
        <v>1050</v>
      </c>
      <c r="B19" s="5" t="s">
        <v>1073</v>
      </c>
      <c r="C19" s="1" t="s">
        <v>1080</v>
      </c>
      <c r="D19" s="1" t="s">
        <v>1081</v>
      </c>
    </row>
    <row r="20" spans="1:4" ht="28.8" x14ac:dyDescent="0.3">
      <c r="A20" s="5" t="s">
        <v>1051</v>
      </c>
      <c r="B20" s="5" t="s">
        <v>1082</v>
      </c>
      <c r="C20" s="1" t="s">
        <v>1083</v>
      </c>
      <c r="D20" s="1" t="s">
        <v>1084</v>
      </c>
    </row>
    <row r="21" spans="1:4" ht="28.8" x14ac:dyDescent="0.3">
      <c r="A21" s="5" t="s">
        <v>1052</v>
      </c>
      <c r="B21" s="5" t="s">
        <v>1082</v>
      </c>
      <c r="C21" s="1" t="s">
        <v>1085</v>
      </c>
      <c r="D21" s="1" t="s">
        <v>1086</v>
      </c>
    </row>
    <row r="22" spans="1:4" ht="28.8" x14ac:dyDescent="0.3">
      <c r="A22" s="5" t="s">
        <v>1053</v>
      </c>
      <c r="B22" s="5" t="s">
        <v>1087</v>
      </c>
      <c r="C22" s="1" t="s">
        <v>1088</v>
      </c>
      <c r="D22" s="1" t="s">
        <v>1089</v>
      </c>
    </row>
    <row r="23" spans="1:4" ht="28.8" x14ac:dyDescent="0.3">
      <c r="A23" s="5" t="s">
        <v>1090</v>
      </c>
      <c r="B23" s="5" t="s">
        <v>1087</v>
      </c>
      <c r="C23" s="1" t="s">
        <v>1091</v>
      </c>
      <c r="D23" s="1" t="s">
        <v>1092</v>
      </c>
    </row>
    <row r="24" spans="1:4" ht="28.8" x14ac:dyDescent="0.3">
      <c r="A24" s="5" t="s">
        <v>1093</v>
      </c>
      <c r="B24" s="5" t="s">
        <v>1087</v>
      </c>
      <c r="C24" s="1" t="s">
        <v>1094</v>
      </c>
      <c r="D24" s="1" t="s">
        <v>1095</v>
      </c>
    </row>
    <row r="25" spans="1:4" x14ac:dyDescent="0.3">
      <c r="A25" s="5" t="s">
        <v>1096</v>
      </c>
      <c r="B25" s="5" t="s">
        <v>1097</v>
      </c>
      <c r="C25" s="1" t="s">
        <v>1098</v>
      </c>
      <c r="D25" s="1" t="s">
        <v>1099</v>
      </c>
    </row>
    <row r="26" spans="1:4" ht="28.8" x14ac:dyDescent="0.3">
      <c r="A26" s="5" t="s">
        <v>1100</v>
      </c>
      <c r="B26" s="5" t="s">
        <v>1097</v>
      </c>
      <c r="C26" s="1" t="s">
        <v>1037</v>
      </c>
      <c r="D26" s="1" t="s">
        <v>1101</v>
      </c>
    </row>
    <row r="27" spans="1:4" ht="28.8" x14ac:dyDescent="0.3">
      <c r="A27" s="5" t="s">
        <v>1102</v>
      </c>
      <c r="B27" s="5" t="s">
        <v>1097</v>
      </c>
      <c r="C27" s="1" t="s">
        <v>1103</v>
      </c>
      <c r="D27" s="1" t="s">
        <v>1104</v>
      </c>
    </row>
    <row r="28" spans="1:4" ht="28.8" x14ac:dyDescent="0.3">
      <c r="A28" s="5" t="s">
        <v>1105</v>
      </c>
      <c r="B28" s="5" t="s">
        <v>1097</v>
      </c>
      <c r="C28" s="1" t="s">
        <v>1106</v>
      </c>
      <c r="D28" s="1" t="s">
        <v>1107</v>
      </c>
    </row>
    <row r="29" spans="1:4" x14ac:dyDescent="0.3">
      <c r="A29" s="5" t="s">
        <v>1108</v>
      </c>
      <c r="B29" s="5" t="s">
        <v>1109</v>
      </c>
      <c r="C29" s="1" t="s">
        <v>1110</v>
      </c>
      <c r="D29" s="1" t="s">
        <v>1111</v>
      </c>
    </row>
    <row r="30" spans="1:4" ht="28.8" x14ac:dyDescent="0.3">
      <c r="A30" s="5" t="s">
        <v>1112</v>
      </c>
      <c r="B30" s="5" t="s">
        <v>1109</v>
      </c>
      <c r="C30" s="1" t="s">
        <v>1113</v>
      </c>
      <c r="D30" s="1" t="s">
        <v>1114</v>
      </c>
    </row>
    <row r="31" spans="1:4" ht="28.8" x14ac:dyDescent="0.3">
      <c r="A31" s="5" t="s">
        <v>1115</v>
      </c>
      <c r="B31" s="5" t="s">
        <v>1109</v>
      </c>
      <c r="C31" s="1" t="s">
        <v>1116</v>
      </c>
      <c r="D31" s="1" t="s">
        <v>1117</v>
      </c>
    </row>
    <row r="32" spans="1:4" x14ac:dyDescent="0.3">
      <c r="A32" s="5" t="s">
        <v>1118</v>
      </c>
      <c r="B32" s="5" t="s">
        <v>1109</v>
      </c>
      <c r="C32" s="1" t="s">
        <v>1119</v>
      </c>
      <c r="D32" s="1" t="s">
        <v>1120</v>
      </c>
    </row>
    <row r="33" spans="1:4" ht="28.8" x14ac:dyDescent="0.3">
      <c r="A33" s="5" t="s">
        <v>1121</v>
      </c>
      <c r="B33" s="5" t="s">
        <v>84</v>
      </c>
      <c r="C33" s="1" t="s">
        <v>1122</v>
      </c>
      <c r="D33" s="1" t="s">
        <v>1123</v>
      </c>
    </row>
    <row r="34" spans="1:4" ht="28.8" x14ac:dyDescent="0.3">
      <c r="A34" s="5" t="s">
        <v>1124</v>
      </c>
      <c r="B34" s="5" t="s">
        <v>84</v>
      </c>
      <c r="C34" s="1" t="s">
        <v>1125</v>
      </c>
      <c r="D34" s="1" t="s">
        <v>1126</v>
      </c>
    </row>
    <row r="35" spans="1:4" ht="28.8" x14ac:dyDescent="0.3">
      <c r="A35" s="5" t="s">
        <v>1127</v>
      </c>
      <c r="B35" s="5" t="s">
        <v>84</v>
      </c>
      <c r="C35" s="1" t="s">
        <v>1128</v>
      </c>
      <c r="D35" s="1" t="s">
        <v>1129</v>
      </c>
    </row>
    <row r="36" spans="1:4" ht="28.8" x14ac:dyDescent="0.3">
      <c r="A36" s="5" t="s">
        <v>1130</v>
      </c>
      <c r="B36" s="5" t="s">
        <v>1131</v>
      </c>
      <c r="C36" s="1" t="s">
        <v>1132</v>
      </c>
      <c r="D36" s="1" t="s">
        <v>1133</v>
      </c>
    </row>
    <row r="37" spans="1:4" ht="28.8" x14ac:dyDescent="0.3">
      <c r="A37" s="5" t="s">
        <v>1134</v>
      </c>
      <c r="B37" s="5" t="s">
        <v>1131</v>
      </c>
      <c r="C37" s="1" t="s">
        <v>1135</v>
      </c>
      <c r="D37" s="1" t="s">
        <v>1136</v>
      </c>
    </row>
    <row r="38" spans="1:4" ht="28.8" x14ac:dyDescent="0.3">
      <c r="A38" s="5" t="s">
        <v>1137</v>
      </c>
      <c r="B38" s="5" t="s">
        <v>1131</v>
      </c>
      <c r="C38" s="1" t="s">
        <v>1138</v>
      </c>
      <c r="D38" s="1" t="s">
        <v>1139</v>
      </c>
    </row>
    <row r="39" spans="1:4" ht="28.8" x14ac:dyDescent="0.3">
      <c r="A39" s="5" t="s">
        <v>1140</v>
      </c>
      <c r="B39" s="5" t="s">
        <v>1131</v>
      </c>
      <c r="C39" s="1" t="s">
        <v>1141</v>
      </c>
      <c r="D39" s="1" t="s">
        <v>1142</v>
      </c>
    </row>
    <row r="40" spans="1:4" ht="28.8" x14ac:dyDescent="0.3">
      <c r="A40" s="5" t="s">
        <v>1143</v>
      </c>
      <c r="B40" s="5" t="s">
        <v>1144</v>
      </c>
      <c r="C40" s="1" t="s">
        <v>1145</v>
      </c>
      <c r="D40" s="1" t="s">
        <v>1146</v>
      </c>
    </row>
    <row r="41" spans="1:4" x14ac:dyDescent="0.3">
      <c r="A41" s="5" t="s">
        <v>1147</v>
      </c>
      <c r="B41" s="5" t="s">
        <v>82</v>
      </c>
      <c r="C41" s="1" t="s">
        <v>1148</v>
      </c>
      <c r="D41" s="1" t="s">
        <v>1149</v>
      </c>
    </row>
    <row r="42" spans="1:4" ht="28.8" x14ac:dyDescent="0.3">
      <c r="A42" s="5" t="s">
        <v>1150</v>
      </c>
      <c r="B42" s="5" t="s">
        <v>82</v>
      </c>
      <c r="C42" s="1" t="s">
        <v>1151</v>
      </c>
      <c r="D42" s="1" t="s">
        <v>1152</v>
      </c>
    </row>
    <row r="43" spans="1:4" ht="28.8" x14ac:dyDescent="0.3">
      <c r="A43" s="5" t="s">
        <v>1153</v>
      </c>
      <c r="B43" s="5" t="s">
        <v>82</v>
      </c>
      <c r="C43" s="1" t="s">
        <v>1154</v>
      </c>
      <c r="D43" s="1" t="s">
        <v>1155</v>
      </c>
    </row>
    <row r="44" spans="1:4" x14ac:dyDescent="0.3">
      <c r="A44" s="5" t="s">
        <v>1156</v>
      </c>
      <c r="B44" s="5" t="s">
        <v>438</v>
      </c>
      <c r="C44" s="1" t="s">
        <v>1157</v>
      </c>
      <c r="D44" s="1" t="s">
        <v>1158</v>
      </c>
    </row>
    <row r="45" spans="1:4" ht="28.8" x14ac:dyDescent="0.3">
      <c r="A45" s="5" t="s">
        <v>1159</v>
      </c>
      <c r="B45" s="5" t="s">
        <v>438</v>
      </c>
      <c r="C45" s="1" t="s">
        <v>1160</v>
      </c>
      <c r="D45" s="1" t="s">
        <v>1161</v>
      </c>
    </row>
    <row r="46" spans="1:4" ht="28.8" x14ac:dyDescent="0.3">
      <c r="A46" s="5" t="s">
        <v>1162</v>
      </c>
      <c r="B46" s="5" t="s">
        <v>438</v>
      </c>
      <c r="C46" s="1" t="s">
        <v>1163</v>
      </c>
      <c r="D46" s="1" t="s">
        <v>1164</v>
      </c>
    </row>
    <row r="47" spans="1:4" ht="28.8" x14ac:dyDescent="0.3">
      <c r="A47" s="5" t="s">
        <v>1165</v>
      </c>
      <c r="B47" s="5" t="s">
        <v>438</v>
      </c>
      <c r="C47" s="1" t="s">
        <v>1166</v>
      </c>
      <c r="D47" s="1" t="s">
        <v>1167</v>
      </c>
    </row>
    <row r="48" spans="1:4" x14ac:dyDescent="0.3">
      <c r="A48" s="5" t="s">
        <v>1168</v>
      </c>
      <c r="B48" s="5" t="s">
        <v>438</v>
      </c>
      <c r="C48" s="1" t="s">
        <v>1169</v>
      </c>
      <c r="D48" s="1" t="s">
        <v>1170</v>
      </c>
    </row>
    <row r="49" spans="1:4" x14ac:dyDescent="0.3">
      <c r="A49" s="5" t="s">
        <v>1171</v>
      </c>
      <c r="B49" s="5" t="s">
        <v>438</v>
      </c>
      <c r="C49" s="1" t="s">
        <v>1172</v>
      </c>
      <c r="D49" s="1" t="s">
        <v>1173</v>
      </c>
    </row>
    <row r="50" spans="1:4" x14ac:dyDescent="0.3">
      <c r="A50" s="5" t="s">
        <v>1174</v>
      </c>
      <c r="B50" s="5" t="s">
        <v>438</v>
      </c>
      <c r="C50" s="1" t="s">
        <v>1175</v>
      </c>
      <c r="D50" s="1" t="s">
        <v>1176</v>
      </c>
    </row>
    <row r="51" spans="1:4" ht="28.8" x14ac:dyDescent="0.3">
      <c r="A51" s="5" t="s">
        <v>1177</v>
      </c>
      <c r="B51" s="5" t="s">
        <v>438</v>
      </c>
      <c r="C51" s="1" t="s">
        <v>1178</v>
      </c>
      <c r="D51" s="1" t="s">
        <v>1179</v>
      </c>
    </row>
    <row r="52" spans="1:4" ht="28.8" x14ac:dyDescent="0.3">
      <c r="A52" s="5" t="s">
        <v>1180</v>
      </c>
      <c r="B52" s="5" t="s">
        <v>98</v>
      </c>
      <c r="C52" s="1" t="s">
        <v>1181</v>
      </c>
      <c r="D52" s="1" t="s">
        <v>1182</v>
      </c>
    </row>
    <row r="53" spans="1:4" ht="28.8" x14ac:dyDescent="0.3">
      <c r="A53" s="5" t="s">
        <v>1183</v>
      </c>
      <c r="B53" s="5" t="s">
        <v>98</v>
      </c>
      <c r="C53" s="1" t="s">
        <v>1184</v>
      </c>
      <c r="D53" s="1" t="s">
        <v>1185</v>
      </c>
    </row>
    <row r="54" spans="1:4" x14ac:dyDescent="0.3">
      <c r="A54" s="5" t="s">
        <v>1186</v>
      </c>
      <c r="B54" s="5" t="s">
        <v>98</v>
      </c>
      <c r="C54" s="1" t="s">
        <v>1187</v>
      </c>
      <c r="D54" s="1" t="s">
        <v>1188</v>
      </c>
    </row>
    <row r="55" spans="1:4" ht="28.8" x14ac:dyDescent="0.3">
      <c r="A55" s="5" t="s">
        <v>1189</v>
      </c>
      <c r="B55" s="5" t="s">
        <v>1190</v>
      </c>
      <c r="C55" s="1" t="s">
        <v>1191</v>
      </c>
      <c r="D55" s="1" t="s">
        <v>1192</v>
      </c>
    </row>
    <row r="56" spans="1:4" x14ac:dyDescent="0.3">
      <c r="A56" s="5" t="s">
        <v>1193</v>
      </c>
      <c r="B56" s="5" t="s">
        <v>1190</v>
      </c>
      <c r="C56" s="1" t="s">
        <v>1194</v>
      </c>
      <c r="D56" s="1" t="s">
        <v>1195</v>
      </c>
    </row>
    <row r="57" spans="1:4" ht="28.8" x14ac:dyDescent="0.3">
      <c r="A57" s="5" t="s">
        <v>1196</v>
      </c>
      <c r="B57" s="5" t="s">
        <v>1190</v>
      </c>
      <c r="C57" s="1" t="s">
        <v>1197</v>
      </c>
      <c r="D57" s="1" t="s">
        <v>1198</v>
      </c>
    </row>
    <row r="58" spans="1:4" ht="28.8" x14ac:dyDescent="0.3">
      <c r="A58" s="5" t="s">
        <v>1199</v>
      </c>
      <c r="B58" s="5" t="s">
        <v>1190</v>
      </c>
      <c r="C58" s="1" t="s">
        <v>1200</v>
      </c>
      <c r="D58" s="1" t="s">
        <v>1201</v>
      </c>
    </row>
    <row r="59" spans="1:4" ht="28.8" x14ac:dyDescent="0.3">
      <c r="A59" s="5" t="s">
        <v>1202</v>
      </c>
      <c r="B59" s="5" t="s">
        <v>1190</v>
      </c>
      <c r="C59" s="1" t="s">
        <v>1203</v>
      </c>
      <c r="D59" s="1" t="s">
        <v>1204</v>
      </c>
    </row>
    <row r="60" spans="1:4" ht="28.8" x14ac:dyDescent="0.3">
      <c r="A60" s="5" t="s">
        <v>1205</v>
      </c>
      <c r="B60" s="5" t="s">
        <v>1206</v>
      </c>
      <c r="C60" s="1" t="s">
        <v>1207</v>
      </c>
      <c r="D60" s="1" t="s">
        <v>1208</v>
      </c>
    </row>
    <row r="61" spans="1:4" ht="28.8" x14ac:dyDescent="0.3">
      <c r="A61" s="5" t="s">
        <v>1209</v>
      </c>
      <c r="B61" s="5" t="s">
        <v>1206</v>
      </c>
      <c r="C61" s="1" t="s">
        <v>1210</v>
      </c>
      <c r="D61" s="1" t="s">
        <v>1211</v>
      </c>
    </row>
    <row r="62" spans="1:4" ht="28.8" x14ac:dyDescent="0.3">
      <c r="A62" s="5" t="s">
        <v>1212</v>
      </c>
      <c r="B62" s="5" t="s">
        <v>1206</v>
      </c>
      <c r="C62" s="1" t="s">
        <v>1213</v>
      </c>
      <c r="D62" s="1" t="s">
        <v>1214</v>
      </c>
    </row>
    <row r="63" spans="1:4" ht="28.8" x14ac:dyDescent="0.3">
      <c r="A63" s="5" t="s">
        <v>1215</v>
      </c>
      <c r="B63" s="5" t="s">
        <v>1206</v>
      </c>
      <c r="C63" s="1" t="s">
        <v>1216</v>
      </c>
      <c r="D63" s="1" t="s">
        <v>1217</v>
      </c>
    </row>
    <row r="64" spans="1:4" ht="28.8" x14ac:dyDescent="0.3">
      <c r="A64" s="5" t="s">
        <v>1218</v>
      </c>
      <c r="B64" s="5" t="s">
        <v>1219</v>
      </c>
      <c r="C64" s="1" t="s">
        <v>1220</v>
      </c>
      <c r="D64" s="1" t="s">
        <v>1221</v>
      </c>
    </row>
    <row r="65" spans="1:4" ht="28.8" x14ac:dyDescent="0.3">
      <c r="A65" s="5" t="s">
        <v>1222</v>
      </c>
      <c r="B65" s="5" t="s">
        <v>1219</v>
      </c>
      <c r="C65" s="1" t="s">
        <v>1223</v>
      </c>
      <c r="D65" s="1" t="s">
        <v>1224</v>
      </c>
    </row>
    <row r="66" spans="1:4" x14ac:dyDescent="0.3">
      <c r="A66" s="5" t="s">
        <v>1225</v>
      </c>
      <c r="B66" s="5" t="s">
        <v>1219</v>
      </c>
      <c r="C66" s="1" t="s">
        <v>1226</v>
      </c>
      <c r="D66" s="1" t="s">
        <v>1227</v>
      </c>
    </row>
    <row r="67" spans="1:4" ht="28.8" x14ac:dyDescent="0.3">
      <c r="A67" s="5" t="s">
        <v>1228</v>
      </c>
      <c r="B67" s="5" t="s">
        <v>1219</v>
      </c>
      <c r="C67" s="1" t="s">
        <v>1229</v>
      </c>
      <c r="D67" s="1" t="s">
        <v>1230</v>
      </c>
    </row>
    <row r="68" spans="1:4" ht="28.8" x14ac:dyDescent="0.3">
      <c r="A68" s="5" t="s">
        <v>1231</v>
      </c>
      <c r="B68" s="5" t="s">
        <v>1232</v>
      </c>
      <c r="C68" s="1" t="s">
        <v>1233</v>
      </c>
      <c r="D68" s="1" t="s">
        <v>1234</v>
      </c>
    </row>
    <row r="69" spans="1:4" ht="28.8" x14ac:dyDescent="0.3">
      <c r="A69" s="5" t="s">
        <v>1235</v>
      </c>
      <c r="B69" s="5" t="s">
        <v>1232</v>
      </c>
      <c r="C69" s="1" t="s">
        <v>1236</v>
      </c>
      <c r="D69" s="1" t="s">
        <v>1237</v>
      </c>
    </row>
  </sheetData>
  <phoneticPr fontId="4" type="noConversion"/>
  <dataValidations count="1">
    <dataValidation type="list" allowBlank="1" showInputMessage="1" showErrorMessage="1" sqref="B8:B69" xr:uid="{E99FE86B-73AB-47AC-9884-B8880072A7DE}">
      <formula1>rng\Security.Areas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B41A-3282-40BE-9C85-B2E120FEF7AB}">
  <dimension ref="A2:H142"/>
  <sheetViews>
    <sheetView showGridLines="0" workbookViewId="0">
      <pane xSplit="6" ySplit="7" topLeftCell="G62" activePane="bottomRight" state="frozen"/>
      <selection pane="topRight" activeCell="G1" sqref="G1"/>
      <selection pane="bottomLeft" activeCell="A8" sqref="A8"/>
      <selection pane="bottomRight" activeCell="C36" sqref="C36"/>
    </sheetView>
  </sheetViews>
  <sheetFormatPr defaultRowHeight="14.4" x14ac:dyDescent="0.3"/>
  <cols>
    <col min="1" max="1" width="14.88671875" style="9" customWidth="1"/>
    <col min="2" max="2" width="12.88671875" style="9" customWidth="1"/>
    <col min="3" max="3" width="29.44140625" customWidth="1"/>
    <col min="4" max="4" width="21.5546875" style="10" customWidth="1"/>
    <col min="5" max="5" width="56" customWidth="1"/>
    <col min="6" max="6" width="8.88671875" style="9"/>
    <col min="7" max="7" width="20.21875" customWidth="1"/>
    <col min="8" max="8" width="16.5546875" customWidth="1"/>
  </cols>
  <sheetData>
    <row r="2" spans="1:8" ht="31.2" x14ac:dyDescent="0.6">
      <c r="B2" s="26" t="s">
        <v>378</v>
      </c>
      <c r="G2" s="27" t="s">
        <v>1036</v>
      </c>
    </row>
    <row r="3" spans="1:8" ht="16.2" customHeight="1" x14ac:dyDescent="0.6">
      <c r="B3" s="56"/>
    </row>
    <row r="4" spans="1:8" ht="29.4" customHeight="1" x14ac:dyDescent="0.3">
      <c r="A4" s="49"/>
      <c r="B4" s="49"/>
      <c r="C4" s="49"/>
      <c r="D4" s="49"/>
      <c r="E4" s="49"/>
      <c r="F4" s="49"/>
      <c r="G4" s="49"/>
      <c r="H4" s="49"/>
    </row>
    <row r="5" spans="1:8" x14ac:dyDescent="0.3">
      <c r="A5" s="14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  <c r="G5" s="14">
        <v>7</v>
      </c>
      <c r="H5" s="14">
        <v>8</v>
      </c>
    </row>
    <row r="6" spans="1:8" ht="9.6" customHeight="1" x14ac:dyDescent="0.3">
      <c r="A6" s="72"/>
      <c r="B6" s="72"/>
      <c r="C6" s="70"/>
      <c r="D6" s="82"/>
      <c r="E6" s="73"/>
      <c r="F6" s="71"/>
      <c r="G6" s="72"/>
      <c r="H6" s="72"/>
    </row>
    <row r="7" spans="1:8" ht="22.8" customHeight="1" x14ac:dyDescent="0.3">
      <c r="A7" s="6" t="s">
        <v>195</v>
      </c>
      <c r="B7" s="6" t="s">
        <v>723</v>
      </c>
      <c r="C7" s="6" t="s">
        <v>721</v>
      </c>
      <c r="D7" s="6" t="s">
        <v>1</v>
      </c>
      <c r="E7" s="6" t="s">
        <v>0</v>
      </c>
      <c r="F7" s="6" t="s">
        <v>722</v>
      </c>
      <c r="G7" s="6" t="s">
        <v>1002</v>
      </c>
      <c r="H7" s="6" t="s">
        <v>1003</v>
      </c>
    </row>
    <row r="8" spans="1:8" x14ac:dyDescent="0.3">
      <c r="A8" s="9" t="s">
        <v>497</v>
      </c>
      <c r="B8" s="9" t="s">
        <v>750</v>
      </c>
      <c r="C8" t="s">
        <v>731</v>
      </c>
      <c r="D8" s="10" t="s">
        <v>434</v>
      </c>
      <c r="F8" s="9">
        <v>1</v>
      </c>
      <c r="G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=INDEX(tab\CFG[Value];MATCH("rng\Area";tab\CFG[Key];0)):INDEX(tab\CFG[Value];MATCH("rng\Area";tab\CFG[Key];0)+COUNTIF(tab\CFG[Key];"rng\Area")-1)</v>
      </c>
      <c r="H8" t="str">
        <f>"=FILTER(tab\CFG[Value];tab\CFG[Key]="""&amp;tab\CFG[[#This Row],[Key]]&amp;""")"</f>
        <v>=FILTER(tab\CFG[Value];tab\CFG[Key]="rng\Area")</v>
      </c>
    </row>
    <row r="9" spans="1:8" x14ac:dyDescent="0.3">
      <c r="A9" s="9" t="s">
        <v>498</v>
      </c>
      <c r="C9" t="s">
        <v>731</v>
      </c>
      <c r="D9" s="10" t="s">
        <v>435</v>
      </c>
      <c r="F9" s="9">
        <v>2</v>
      </c>
      <c r="G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=INDEX(tab\CFG[Value];MATCH("rng\Area";tab\CFG[Key];0)):INDEX(tab\CFG[Value];MATCH("rng\Area";tab\CFG[Key];0)+COUNTIF(tab\CFG[Key];"rng\Area")-1)</v>
      </c>
      <c r="H9" t="str">
        <f>"=FILTER(tab\CFG[Value];tab\CFG[Key]="""&amp;tab\CFG[[#This Row],[Key]]&amp;""")"</f>
        <v>=FILTER(tab\CFG[Value];tab\CFG[Key]="rng\Area")</v>
      </c>
    </row>
    <row r="10" spans="1:8" x14ac:dyDescent="0.3">
      <c r="A10" s="9" t="s">
        <v>499</v>
      </c>
      <c r="C10" t="s">
        <v>731</v>
      </c>
      <c r="D10" s="10" t="s">
        <v>437</v>
      </c>
      <c r="F10" s="9">
        <v>3</v>
      </c>
      <c r="G1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=INDEX(tab\CFG[Value];MATCH("rng\Area";tab\CFG[Key];0)):INDEX(tab\CFG[Value];MATCH("rng\Area";tab\CFG[Key];0)+COUNTIF(tab\CFG[Key];"rng\Area")-1)</v>
      </c>
      <c r="H10" t="str">
        <f>"=FILTER(tab\CFG[Value];tab\CFG[Key]="""&amp;tab\CFG[[#This Row],[Key]]&amp;""")"</f>
        <v>=FILTER(tab\CFG[Value];tab\CFG[Key]="rng\Area")</v>
      </c>
    </row>
    <row r="11" spans="1:8" x14ac:dyDescent="0.3">
      <c r="A11" s="9" t="s">
        <v>500</v>
      </c>
      <c r="C11" t="s">
        <v>731</v>
      </c>
      <c r="D11" s="10" t="s">
        <v>666</v>
      </c>
      <c r="F11" s="9">
        <v>4</v>
      </c>
      <c r="G1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=INDEX(tab\CFG[Value];MATCH("rng\Area";tab\CFG[Key];0)):INDEX(tab\CFG[Value];MATCH("rng\Area";tab\CFG[Key];0)+COUNTIF(tab\CFG[Key];"rng\Area")-1)</v>
      </c>
      <c r="H11" t="str">
        <f>"=FILTER(tab\CFG[Value];tab\CFG[Key]="""&amp;tab\CFG[[#This Row],[Key]]&amp;""")"</f>
        <v>=FILTER(tab\CFG[Value];tab\CFG[Key]="rng\Area")</v>
      </c>
    </row>
    <row r="12" spans="1:8" x14ac:dyDescent="0.3">
      <c r="A12" s="9" t="s">
        <v>501</v>
      </c>
      <c r="B12" s="9" t="s">
        <v>751</v>
      </c>
      <c r="C12" t="s">
        <v>732</v>
      </c>
      <c r="D12" s="10" t="s">
        <v>493</v>
      </c>
      <c r="F12" s="9">
        <v>1</v>
      </c>
      <c r="G1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=INDEX(tab\CFG[Value];MATCH("rng\Breach";tab\CFG[Key];0)):INDEX(tab\CFG[Value];MATCH("rng\Breach";tab\CFG[Key];0)+COUNTIF(tab\CFG[Key];"rng\Breach")-1)</v>
      </c>
      <c r="H12" t="str">
        <f>"=FILTER(tab\CFG[Value];tab\CFG[Key]="""&amp;tab\CFG[[#This Row],[Key]]&amp;""")"</f>
        <v>=FILTER(tab\CFG[Value];tab\CFG[Key]="rng\Breach")</v>
      </c>
    </row>
    <row r="13" spans="1:8" x14ac:dyDescent="0.3">
      <c r="A13" s="9" t="s">
        <v>502</v>
      </c>
      <c r="C13" t="s">
        <v>732</v>
      </c>
      <c r="D13" s="10" t="s">
        <v>494</v>
      </c>
      <c r="F13" s="9">
        <v>2</v>
      </c>
      <c r="G1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=INDEX(tab\CFG[Value];MATCH("rng\Breach";tab\CFG[Key];0)):INDEX(tab\CFG[Value];MATCH("rng\Breach";tab\CFG[Key];0)+COUNTIF(tab\CFG[Key];"rng\Breach")-1)</v>
      </c>
      <c r="H13" t="str">
        <f>"=FILTER(tab\CFG[Value];tab\CFG[Key]="""&amp;tab\CFG[[#This Row],[Key]]&amp;""")"</f>
        <v>=FILTER(tab\CFG[Value];tab\CFG[Key]="rng\Breach")</v>
      </c>
    </row>
    <row r="14" spans="1:8" x14ac:dyDescent="0.3">
      <c r="A14" s="9" t="s">
        <v>503</v>
      </c>
      <c r="C14" t="s">
        <v>732</v>
      </c>
      <c r="D14" s="10" t="s">
        <v>98</v>
      </c>
      <c r="F14" s="9">
        <v>3</v>
      </c>
      <c r="G1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=INDEX(tab\CFG[Value];MATCH("rng\Breach";tab\CFG[Key];0)):INDEX(tab\CFG[Value];MATCH("rng\Breach";tab\CFG[Key];0)+COUNTIF(tab\CFG[Key];"rng\Breach")-1)</v>
      </c>
      <c r="H14" t="str">
        <f>"=FILTER(tab\CFG[Value];tab\CFG[Key]="""&amp;tab\CFG[[#This Row],[Key]]&amp;""")"</f>
        <v>=FILTER(tab\CFG[Value];tab\CFG[Key]="rng\Breach")</v>
      </c>
    </row>
    <row r="15" spans="1:8" x14ac:dyDescent="0.3">
      <c r="A15" s="9" t="s">
        <v>504</v>
      </c>
      <c r="B15" s="9" t="s">
        <v>752</v>
      </c>
      <c r="C15" t="s">
        <v>733</v>
      </c>
      <c r="D15" s="10" t="s">
        <v>495</v>
      </c>
      <c r="F15" s="9">
        <v>1</v>
      </c>
      <c r="G1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=INDEX(tab\CFG[Value];MATCH("rng\Breach.Status";tab\CFG[Key];0)):INDEX(tab\CFG[Value];MATCH("rng\Breach.Status";tab\CFG[Key];0)+COUNTIF(tab\CFG[Key];"rng\Breach.Status")-1)</v>
      </c>
      <c r="H15" t="str">
        <f>"=FILTER(tab\CFG[Value];tab\CFG[Key]="""&amp;tab\CFG[[#This Row],[Key]]&amp;""")"</f>
        <v>=FILTER(tab\CFG[Value];tab\CFG[Key]="rng\Breach.Status")</v>
      </c>
    </row>
    <row r="16" spans="1:8" x14ac:dyDescent="0.3">
      <c r="A16" s="9" t="s">
        <v>505</v>
      </c>
      <c r="C16" t="s">
        <v>733</v>
      </c>
      <c r="D16" s="10" t="s">
        <v>496</v>
      </c>
      <c r="F16" s="9">
        <v>2</v>
      </c>
      <c r="G1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=INDEX(tab\CFG[Value];MATCH("rng\Breach.Status";tab\CFG[Key];0)):INDEX(tab\CFG[Value];MATCH("rng\Breach.Status";tab\CFG[Key];0)+COUNTIF(tab\CFG[Key];"rng\Breach.Status")-1)</v>
      </c>
      <c r="H16" t="str">
        <f>"=FILTER(tab\CFG[Value];tab\CFG[Key]="""&amp;tab\CFG[[#This Row],[Key]]&amp;""")"</f>
        <v>=FILTER(tab\CFG[Value];tab\CFG[Key]="rng\Breach.Status")</v>
      </c>
    </row>
    <row r="17" spans="1:8" x14ac:dyDescent="0.3">
      <c r="A17" s="9" t="s">
        <v>506</v>
      </c>
      <c r="B17" s="9" t="s">
        <v>743</v>
      </c>
      <c r="C17" t="s">
        <v>724</v>
      </c>
      <c r="D17" s="10" t="s">
        <v>9</v>
      </c>
      <c r="F17" s="9">
        <v>1</v>
      </c>
      <c r="G1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=INDEX(tab\CFG[Value];MATCH("rng\Choice.YesNo";tab\CFG[Key];0)):INDEX(tab\CFG[Value];MATCH("rng\Choice.YesNo";tab\CFG[Key];0)+COUNTIF(tab\CFG[Key];"rng\Choice.YesNo")-1)</v>
      </c>
      <c r="H17" t="str">
        <f>"=FILTER(tab\CFG[Value];tab\CFG[Key]="""&amp;tab\CFG[[#This Row],[Key]]&amp;""")"</f>
        <v>=FILTER(tab\CFG[Value];tab\CFG[Key]="rng\Choice.YesNo")</v>
      </c>
    </row>
    <row r="18" spans="1:8" x14ac:dyDescent="0.3">
      <c r="A18" s="9" t="s">
        <v>507</v>
      </c>
      <c r="C18" t="s">
        <v>724</v>
      </c>
      <c r="D18" s="10" t="s">
        <v>10</v>
      </c>
      <c r="F18" s="9">
        <v>2</v>
      </c>
      <c r="G1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=INDEX(tab\CFG[Value];MATCH("rng\Choice.YesNo";tab\CFG[Key];0)):INDEX(tab\CFG[Value];MATCH("rng\Choice.YesNo";tab\CFG[Key];0)+COUNTIF(tab\CFG[Key];"rng\Choice.YesNo")-1)</v>
      </c>
      <c r="H18" t="str">
        <f>"=FILTER(tab\CFG[Value];tab\CFG[Key]="""&amp;tab\CFG[[#This Row],[Key]]&amp;""")"</f>
        <v>=FILTER(tab\CFG[Value];tab\CFG[Key]="rng\Choice.YesNo")</v>
      </c>
    </row>
    <row r="19" spans="1:8" x14ac:dyDescent="0.3">
      <c r="A19" s="9" t="s">
        <v>508</v>
      </c>
      <c r="B19" s="9" t="s">
        <v>746</v>
      </c>
      <c r="C19" t="s">
        <v>727</v>
      </c>
      <c r="D19" s="10" t="s">
        <v>9</v>
      </c>
      <c r="F19" s="9">
        <v>1</v>
      </c>
      <c r="G1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=INDEX(tab\CFG[Value];MATCH("rng\Choice.YesNoNA";tab\CFG[Key];0)):INDEX(tab\CFG[Value];MATCH("rng\Choice.YesNoNA";tab\CFG[Key];0)+COUNTIF(tab\CFG[Key];"rng\Choice.YesNoNA")-1)</v>
      </c>
      <c r="H19" t="str">
        <f>"=FILTER(tab\CFG[Value];tab\CFG[Key]="""&amp;tab\CFG[[#This Row],[Key]]&amp;""")"</f>
        <v>=FILTER(tab\CFG[Value];tab\CFG[Key]="rng\Choice.YesNoNA")</v>
      </c>
    </row>
    <row r="20" spans="1:8" x14ac:dyDescent="0.3">
      <c r="A20" s="9" t="s">
        <v>516</v>
      </c>
      <c r="C20" t="s">
        <v>727</v>
      </c>
      <c r="D20" s="10" t="s">
        <v>10</v>
      </c>
      <c r="F20" s="9">
        <v>2</v>
      </c>
      <c r="G2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=INDEX(tab\CFG[Value];MATCH("rng\Choice.YesNoNA";tab\CFG[Key];0)):INDEX(tab\CFG[Value];MATCH("rng\Choice.YesNoNA";tab\CFG[Key];0)+COUNTIF(tab\CFG[Key];"rng\Choice.YesNoNA")-1)</v>
      </c>
      <c r="H20" t="str">
        <f>"=FILTER(tab\CFG[Value];tab\CFG[Key]="""&amp;tab\CFG[[#This Row],[Key]]&amp;""")"</f>
        <v>=FILTER(tab\CFG[Value];tab\CFG[Key]="rng\Choice.YesNoNA")</v>
      </c>
    </row>
    <row r="21" spans="1:8" x14ac:dyDescent="0.3">
      <c r="A21" s="9" t="s">
        <v>517</v>
      </c>
      <c r="C21" t="s">
        <v>727</v>
      </c>
      <c r="D21" s="10" t="s">
        <v>13</v>
      </c>
      <c r="F21" s="9">
        <v>3</v>
      </c>
      <c r="G2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=INDEX(tab\CFG[Value];MATCH("rng\Choice.YesNoNA";tab\CFG[Key];0)):INDEX(tab\CFG[Value];MATCH("rng\Choice.YesNoNA";tab\CFG[Key];0)+COUNTIF(tab\CFG[Key];"rng\Choice.YesNoNA")-1)</v>
      </c>
      <c r="H21" t="str">
        <f>"=FILTER(tab\CFG[Value];tab\CFG[Key]="""&amp;tab\CFG[[#This Row],[Key]]&amp;""")"</f>
        <v>=FILTER(tab\CFG[Value];tab\CFG[Key]="rng\Choice.YesNoNA")</v>
      </c>
    </row>
    <row r="22" spans="1:8" x14ac:dyDescent="0.3">
      <c r="A22" s="9" t="s">
        <v>525</v>
      </c>
      <c r="B22" s="9" t="s">
        <v>757</v>
      </c>
      <c r="C22" t="s">
        <v>737</v>
      </c>
      <c r="D22" s="10" t="s">
        <v>14</v>
      </c>
      <c r="F22" s="9">
        <v>1</v>
      </c>
      <c r="G2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=INDEX(tab\CFG[Value];MATCH("rng\Compliance.Type";tab\CFG[Key];0)):INDEX(tab\CFG[Value];MATCH("rng\Compliance.Type";tab\CFG[Key];0)+COUNTIF(tab\CFG[Key];"rng\Compliance.Type")-1)</v>
      </c>
      <c r="H22" t="str">
        <f>"=FILTER(tab\CFG[Value];tab\CFG[Key]="""&amp;tab\CFG[[#This Row],[Key]]&amp;""")"</f>
        <v>=FILTER(tab\CFG[Value];tab\CFG[Key]="rng\Compliance.Type")</v>
      </c>
    </row>
    <row r="23" spans="1:8" x14ac:dyDescent="0.3">
      <c r="A23" s="9" t="s">
        <v>527</v>
      </c>
      <c r="C23" t="s">
        <v>737</v>
      </c>
      <c r="D23" s="10" t="s">
        <v>531</v>
      </c>
      <c r="F23" s="9">
        <v>2</v>
      </c>
      <c r="G2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=INDEX(tab\CFG[Value];MATCH("rng\Compliance.Type";tab\CFG[Key];0)):INDEX(tab\CFG[Value];MATCH("rng\Compliance.Type";tab\CFG[Key];0)+COUNTIF(tab\CFG[Key];"rng\Compliance.Type")-1)</v>
      </c>
      <c r="H23" t="str">
        <f>"=FILTER(tab\CFG[Value];tab\CFG[Key]="""&amp;tab\CFG[[#This Row],[Key]]&amp;""")"</f>
        <v>=FILTER(tab\CFG[Value];tab\CFG[Key]="rng\Compliance.Type")</v>
      </c>
    </row>
    <row r="24" spans="1:8" x14ac:dyDescent="0.3">
      <c r="A24" s="9" t="s">
        <v>773</v>
      </c>
      <c r="C24" t="s">
        <v>737</v>
      </c>
      <c r="D24" s="10" t="s">
        <v>532</v>
      </c>
      <c r="F24" s="9">
        <v>3</v>
      </c>
      <c r="G2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=INDEX(tab\CFG[Value];MATCH("rng\Compliance.Type";tab\CFG[Key];0)):INDEX(tab\CFG[Value];MATCH("rng\Compliance.Type";tab\CFG[Key];0)+COUNTIF(tab\CFG[Key];"rng\Compliance.Type")-1)</v>
      </c>
      <c r="H24" t="str">
        <f>"=FILTER(tab\CFG[Value];tab\CFG[Key]="""&amp;tab\CFG[[#This Row],[Key]]&amp;""")"</f>
        <v>=FILTER(tab\CFG[Value];tab\CFG[Key]="rng\Compliance.Type")</v>
      </c>
    </row>
    <row r="25" spans="1:8" x14ac:dyDescent="0.3">
      <c r="A25" s="9" t="s">
        <v>774</v>
      </c>
      <c r="B25" s="9" t="s">
        <v>744</v>
      </c>
      <c r="C25" t="s">
        <v>726</v>
      </c>
      <c r="D25" s="10" t="s">
        <v>33</v>
      </c>
      <c r="F25" s="9">
        <v>1</v>
      </c>
      <c r="G2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=INDEX(tab\CFG[Value];MATCH("rng\Document.Class";tab\CFG[Key];0)):INDEX(tab\CFG[Value];MATCH("rng\Document.Class";tab\CFG[Key];0)+COUNTIF(tab\CFG[Key];"rng\Document.Class")-1)</v>
      </c>
      <c r="H25" t="str">
        <f>"=FILTER(tab\CFG[Value];tab\CFG[Key]="""&amp;tab\CFG[[#This Row],[Key]]&amp;""")"</f>
        <v>=FILTER(tab\CFG[Value];tab\CFG[Key]="rng\Document.Class")</v>
      </c>
    </row>
    <row r="26" spans="1:8" x14ac:dyDescent="0.3">
      <c r="A26" s="9" t="s">
        <v>775</v>
      </c>
      <c r="C26" t="s">
        <v>726</v>
      </c>
      <c r="D26" s="10" t="s">
        <v>40</v>
      </c>
      <c r="F26" s="9">
        <v>2</v>
      </c>
      <c r="G2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=INDEX(tab\CFG[Value];MATCH("rng\Document.Class";tab\CFG[Key];0)):INDEX(tab\CFG[Value];MATCH("rng\Document.Class";tab\CFG[Key];0)+COUNTIF(tab\CFG[Key];"rng\Document.Class")-1)</v>
      </c>
      <c r="H26" t="str">
        <f>"=FILTER(tab\CFG[Value];tab\CFG[Key]="""&amp;tab\CFG[[#This Row],[Key]]&amp;""")"</f>
        <v>=FILTER(tab\CFG[Value];tab\CFG[Key]="rng\Document.Class")</v>
      </c>
    </row>
    <row r="27" spans="1:8" x14ac:dyDescent="0.3">
      <c r="A27" s="9" t="s">
        <v>776</v>
      </c>
      <c r="C27" t="s">
        <v>726</v>
      </c>
      <c r="D27" s="10" t="s">
        <v>46</v>
      </c>
      <c r="F27" s="9">
        <v>3</v>
      </c>
      <c r="G2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=INDEX(tab\CFG[Value];MATCH("rng\Document.Class";tab\CFG[Key];0)):INDEX(tab\CFG[Value];MATCH("rng\Document.Class";tab\CFG[Key];0)+COUNTIF(tab\CFG[Key];"rng\Document.Class")-1)</v>
      </c>
      <c r="H27" t="str">
        <f>"=FILTER(tab\CFG[Value];tab\CFG[Key]="""&amp;tab\CFG[[#This Row],[Key]]&amp;""")"</f>
        <v>=FILTER(tab\CFG[Value];tab\CFG[Key]="rng\Document.Class")</v>
      </c>
    </row>
    <row r="28" spans="1:8" x14ac:dyDescent="0.3">
      <c r="A28" s="9" t="s">
        <v>777</v>
      </c>
      <c r="C28" t="s">
        <v>726</v>
      </c>
      <c r="D28" s="10" t="s">
        <v>41</v>
      </c>
      <c r="F28" s="9">
        <v>4</v>
      </c>
      <c r="G2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=INDEX(tab\CFG[Value];MATCH("rng\Document.Class";tab\CFG[Key];0)):INDEX(tab\CFG[Value];MATCH("rng\Document.Class";tab\CFG[Key];0)+COUNTIF(tab\CFG[Key];"rng\Document.Class")-1)</v>
      </c>
      <c r="H28" t="str">
        <f>"=FILTER(tab\CFG[Value];tab\CFG[Key]="""&amp;tab\CFG[[#This Row],[Key]]&amp;""")"</f>
        <v>=FILTER(tab\CFG[Value];tab\CFG[Key]="rng\Document.Class")</v>
      </c>
    </row>
    <row r="29" spans="1:8" x14ac:dyDescent="0.3">
      <c r="A29" s="9" t="s">
        <v>778</v>
      </c>
      <c r="C29" t="s">
        <v>726</v>
      </c>
      <c r="D29" s="10" t="s">
        <v>374</v>
      </c>
      <c r="F29" s="9">
        <v>5</v>
      </c>
      <c r="G2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=INDEX(tab\CFG[Value];MATCH("rng\Document.Class";tab\CFG[Key];0)):INDEX(tab\CFG[Value];MATCH("rng\Document.Class";tab\CFG[Key];0)+COUNTIF(tab\CFG[Key];"rng\Document.Class")-1)</v>
      </c>
      <c r="H29" t="str">
        <f>"=FILTER(tab\CFG[Value];tab\CFG[Key]="""&amp;tab\CFG[[#This Row],[Key]]&amp;""")"</f>
        <v>=FILTER(tab\CFG[Value];tab\CFG[Key]="rng\Document.Class")</v>
      </c>
    </row>
    <row r="30" spans="1:8" x14ac:dyDescent="0.3">
      <c r="A30" s="9" t="s">
        <v>779</v>
      </c>
      <c r="B30" s="9" t="s">
        <v>745</v>
      </c>
      <c r="C30" t="s">
        <v>725</v>
      </c>
      <c r="D30" s="10" t="s">
        <v>52</v>
      </c>
      <c r="F30" s="9">
        <v>1</v>
      </c>
      <c r="G3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=INDEX(tab\CFG[Value];MATCH("rng\Document.Location";tab\CFG[Key];0)):INDEX(tab\CFG[Value];MATCH("rng\Document.Location";tab\CFG[Key];0)+COUNTIF(tab\CFG[Key];"rng\Document.Location")-1)</v>
      </c>
      <c r="H30" t="str">
        <f>"=FILTER(tab\CFG[Value];tab\CFG[Key]="""&amp;tab\CFG[[#This Row],[Key]]&amp;""")"</f>
        <v>=FILTER(tab\CFG[Value];tab\CFG[Key]="rng\Document.Location")</v>
      </c>
    </row>
    <row r="31" spans="1:8" x14ac:dyDescent="0.3">
      <c r="A31" s="9" t="s">
        <v>780</v>
      </c>
      <c r="C31" t="s">
        <v>725</v>
      </c>
      <c r="D31" s="10" t="s">
        <v>53</v>
      </c>
      <c r="F31" s="9">
        <v>2</v>
      </c>
      <c r="G3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=INDEX(tab\CFG[Value];MATCH("rng\Document.Location";tab\CFG[Key];0)):INDEX(tab\CFG[Value];MATCH("rng\Document.Location";tab\CFG[Key];0)+COUNTIF(tab\CFG[Key];"rng\Document.Location")-1)</v>
      </c>
      <c r="H31" t="str">
        <f>"=FILTER(tab\CFG[Value];tab\CFG[Key]="""&amp;tab\CFG[[#This Row],[Key]]&amp;""")"</f>
        <v>=FILTER(tab\CFG[Value];tab\CFG[Key]="rng\Document.Location")</v>
      </c>
    </row>
    <row r="32" spans="1:8" x14ac:dyDescent="0.3">
      <c r="A32" s="9" t="s">
        <v>781</v>
      </c>
      <c r="B32" s="9" t="s">
        <v>754</v>
      </c>
      <c r="C32" t="s">
        <v>734</v>
      </c>
      <c r="D32" s="10" t="s">
        <v>614</v>
      </c>
      <c r="F32" s="9">
        <v>1</v>
      </c>
      <c r="G3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=INDEX(tab\CFG[Value];MATCH("rng\Document.Type";tab\CFG[Key];0)):INDEX(tab\CFG[Value];MATCH("rng\Document.Type";tab\CFG[Key];0)+COUNTIF(tab\CFG[Key];"rng\Document.Type")-1)</v>
      </c>
      <c r="H32" t="str">
        <f>"=FILTER(tab\CFG[Value];tab\CFG[Key]="""&amp;tab\CFG[[#This Row],[Key]]&amp;""")"</f>
        <v>=FILTER(tab\CFG[Value];tab\CFG[Key]="rng\Document.Type")</v>
      </c>
    </row>
    <row r="33" spans="1:8" x14ac:dyDescent="0.3">
      <c r="A33" s="9" t="s">
        <v>782</v>
      </c>
      <c r="C33" t="s">
        <v>734</v>
      </c>
      <c r="D33" s="10" t="s">
        <v>619</v>
      </c>
      <c r="F33" s="9">
        <v>2</v>
      </c>
      <c r="G3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=INDEX(tab\CFG[Value];MATCH("rng\Document.Type";tab\CFG[Key];0)):INDEX(tab\CFG[Value];MATCH("rng\Document.Type";tab\CFG[Key];0)+COUNTIF(tab\CFG[Key];"rng\Document.Type")-1)</v>
      </c>
      <c r="H33" t="str">
        <f>"=FILTER(tab\CFG[Value];tab\CFG[Key]="""&amp;tab\CFG[[#This Row],[Key]]&amp;""")"</f>
        <v>=FILTER(tab\CFG[Value];tab\CFG[Key]="rng\Document.Type")</v>
      </c>
    </row>
    <row r="34" spans="1:8" x14ac:dyDescent="0.3">
      <c r="A34" s="9" t="s">
        <v>783</v>
      </c>
      <c r="C34" t="s">
        <v>734</v>
      </c>
      <c r="D34" s="10" t="s">
        <v>615</v>
      </c>
      <c r="F34" s="9">
        <v>3</v>
      </c>
      <c r="G3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=INDEX(tab\CFG[Value];MATCH("rng\Document.Type";tab\CFG[Key];0)):INDEX(tab\CFG[Value];MATCH("rng\Document.Type";tab\CFG[Key];0)+COUNTIF(tab\CFG[Key];"rng\Document.Type")-1)</v>
      </c>
      <c r="H34" t="str">
        <f>"=FILTER(tab\CFG[Value];tab\CFG[Key]="""&amp;tab\CFG[[#This Row],[Key]]&amp;""")"</f>
        <v>=FILTER(tab\CFG[Value];tab\CFG[Key]="rng\Document.Type")</v>
      </c>
    </row>
    <row r="35" spans="1:8" x14ac:dyDescent="0.3">
      <c r="A35" s="9" t="s">
        <v>784</v>
      </c>
      <c r="C35" t="s">
        <v>734</v>
      </c>
      <c r="D35" s="10" t="s">
        <v>616</v>
      </c>
      <c r="F35" s="9">
        <v>4</v>
      </c>
      <c r="G3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=INDEX(tab\CFG[Value];MATCH("rng\Document.Type";tab\CFG[Key];0)):INDEX(tab\CFG[Value];MATCH("rng\Document.Type";tab\CFG[Key];0)+COUNTIF(tab\CFG[Key];"rng\Document.Type")-1)</v>
      </c>
      <c r="H35" t="str">
        <f>"=FILTER(tab\CFG[Value];tab\CFG[Key]="""&amp;tab\CFG[[#This Row],[Key]]&amp;""")"</f>
        <v>=FILTER(tab\CFG[Value];tab\CFG[Key]="rng\Document.Type")</v>
      </c>
    </row>
    <row r="36" spans="1:8" x14ac:dyDescent="0.3">
      <c r="A36" s="9" t="s">
        <v>785</v>
      </c>
      <c r="C36" t="s">
        <v>734</v>
      </c>
      <c r="D36" s="10" t="s">
        <v>617</v>
      </c>
      <c r="F36" s="9">
        <v>5</v>
      </c>
      <c r="G3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=INDEX(tab\CFG[Value];MATCH("rng\Document.Type";tab\CFG[Key];0)):INDEX(tab\CFG[Value];MATCH("rng\Document.Type";tab\CFG[Key];0)+COUNTIF(tab\CFG[Key];"rng\Document.Type")-1)</v>
      </c>
      <c r="H36" t="str">
        <f>"=FILTER(tab\CFG[Value];tab\CFG[Key]="""&amp;tab\CFG[[#This Row],[Key]]&amp;""")"</f>
        <v>=FILTER(tab\CFG[Value];tab\CFG[Key]="rng\Document.Type")</v>
      </c>
    </row>
    <row r="37" spans="1:8" x14ac:dyDescent="0.3">
      <c r="A37" s="9" t="s">
        <v>786</v>
      </c>
      <c r="C37" t="s">
        <v>734</v>
      </c>
      <c r="D37" s="10" t="s">
        <v>618</v>
      </c>
      <c r="F37" s="9">
        <v>6</v>
      </c>
      <c r="G3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=INDEX(tab\CFG[Value];MATCH("rng\Document.Type";tab\CFG[Key];0)):INDEX(tab\CFG[Value];MATCH("rng\Document.Type";tab\CFG[Key];0)+COUNTIF(tab\CFG[Key];"rng\Document.Type")-1)</v>
      </c>
      <c r="H37" t="str">
        <f>"=FILTER(tab\CFG[Value];tab\CFG[Key]="""&amp;tab\CFG[[#This Row],[Key]]&amp;""")"</f>
        <v>=FILTER(tab\CFG[Value];tab\CFG[Key]="rng\Document.Type")</v>
      </c>
    </row>
    <row r="38" spans="1:8" x14ac:dyDescent="0.3">
      <c r="A38" s="9" t="s">
        <v>787</v>
      </c>
      <c r="B38" s="9" t="s">
        <v>748</v>
      </c>
      <c r="C38" t="s">
        <v>729</v>
      </c>
      <c r="D38" s="10" t="s">
        <v>514</v>
      </c>
      <c r="F38" s="9">
        <v>1</v>
      </c>
      <c r="G3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=INDEX(tab\CFG[Value];MATCH("rng\DPIA";tab\CFG[Key];0)):INDEX(tab\CFG[Value];MATCH("rng\DPIA";tab\CFG[Key];0)+COUNTIF(tab\CFG[Key];"rng\DPIA")-1)</v>
      </c>
      <c r="H38" t="str">
        <f>"=FILTER(tab\CFG[Value];tab\CFG[Key]="""&amp;tab\CFG[[#This Row],[Key]]&amp;""")"</f>
        <v>=FILTER(tab\CFG[Value];tab\CFG[Key]="rng\DPIA")</v>
      </c>
    </row>
    <row r="39" spans="1:8" x14ac:dyDescent="0.3">
      <c r="A39" s="9" t="s">
        <v>788</v>
      </c>
      <c r="C39" t="s">
        <v>729</v>
      </c>
      <c r="D39" s="10" t="s">
        <v>515</v>
      </c>
      <c r="F39" s="9">
        <v>2</v>
      </c>
      <c r="G3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=INDEX(tab\CFG[Value];MATCH("rng\DPIA";tab\CFG[Key];0)):INDEX(tab\CFG[Value];MATCH("rng\DPIA";tab\CFG[Key];0)+COUNTIF(tab\CFG[Key];"rng\DPIA")-1)</v>
      </c>
      <c r="H39" t="str">
        <f>"=FILTER(tab\CFG[Value];tab\CFG[Key]="""&amp;tab\CFG[[#This Row],[Key]]&amp;""")"</f>
        <v>=FILTER(tab\CFG[Value];tab\CFG[Key]="rng\DPIA")</v>
      </c>
    </row>
    <row r="40" spans="1:8" x14ac:dyDescent="0.3">
      <c r="A40" s="9" t="s">
        <v>789</v>
      </c>
      <c r="C40" t="s">
        <v>729</v>
      </c>
      <c r="D40" s="10" t="s">
        <v>1315</v>
      </c>
      <c r="F40" s="9">
        <v>3</v>
      </c>
      <c r="G4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=INDEX(tab\CFG[Value];MATCH("rng\DPIA";tab\CFG[Key];0)):INDEX(tab\CFG[Value];MATCH("rng\DPIA";tab\CFG[Key];0)+COUNTIF(tab\CFG[Key];"rng\DPIA")-1)</v>
      </c>
      <c r="H40" t="str">
        <f>"=FILTER(tab\CFG[Value];tab\CFG[Key]="""&amp;tab\CFG[[#This Row],[Key]]&amp;""")"</f>
        <v>=FILTER(tab\CFG[Value];tab\CFG[Key]="rng\DPIA")</v>
      </c>
    </row>
    <row r="41" spans="1:8" x14ac:dyDescent="0.3">
      <c r="A41" s="9" t="s">
        <v>869</v>
      </c>
      <c r="B41" s="9" t="s">
        <v>868</v>
      </c>
      <c r="C41" t="s">
        <v>867</v>
      </c>
      <c r="D41" s="5" t="s">
        <v>862</v>
      </c>
      <c r="E41" s="1"/>
      <c r="F41" s="9">
        <v>1</v>
      </c>
      <c r="G4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=INDEX(tab\CFG[Value];MATCH("rng\Receiver.Mode";tab\CFG[Key];0)):INDEX(tab\CFG[Value];MATCH("rng\Receiver.Mode";tab\CFG[Key];0)+COUNTIF(tab\CFG[Key];"rng\Receiver.Mode")-1)</v>
      </c>
      <c r="H41" t="str">
        <f>"=FILTER(tab\CFG[Value];tab\CFG[Key]="""&amp;tab\CFG[[#This Row],[Key]]&amp;""")"</f>
        <v>=FILTER(tab\CFG[Value];tab\CFG[Key]="rng\Receiver.Mode")</v>
      </c>
    </row>
    <row r="42" spans="1:8" x14ac:dyDescent="0.3">
      <c r="A42" s="9" t="s">
        <v>870</v>
      </c>
      <c r="C42" t="s">
        <v>867</v>
      </c>
      <c r="D42" s="5" t="s">
        <v>858</v>
      </c>
      <c r="E42" s="1"/>
      <c r="F42" s="9">
        <v>2</v>
      </c>
      <c r="G4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=INDEX(tab\CFG[Value];MATCH("rng\Receiver.Mode";tab\CFG[Key];0)):INDEX(tab\CFG[Value];MATCH("rng\Receiver.Mode";tab\CFG[Key];0)+COUNTIF(tab\CFG[Key];"rng\Receiver.Mode")-1)</v>
      </c>
      <c r="H42" t="str">
        <f>"=FILTER(tab\CFG[Value];tab\CFG[Key]="""&amp;tab\CFG[[#This Row],[Key]]&amp;""")"</f>
        <v>=FILTER(tab\CFG[Value];tab\CFG[Key]="rng\Receiver.Mode")</v>
      </c>
    </row>
    <row r="43" spans="1:8" x14ac:dyDescent="0.3">
      <c r="A43" s="9" t="s">
        <v>871</v>
      </c>
      <c r="C43" t="s">
        <v>867</v>
      </c>
      <c r="D43" s="5" t="s">
        <v>859</v>
      </c>
      <c r="E43" s="1"/>
      <c r="F43" s="9">
        <v>3</v>
      </c>
      <c r="G4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=INDEX(tab\CFG[Value];MATCH("rng\Receiver.Mode";tab\CFG[Key];0)):INDEX(tab\CFG[Value];MATCH("rng\Receiver.Mode";tab\CFG[Key];0)+COUNTIF(tab\CFG[Key];"rng\Receiver.Mode")-1)</v>
      </c>
      <c r="H43" t="str">
        <f>"=FILTER(tab\CFG[Value];tab\CFG[Key]="""&amp;tab\CFG[[#This Row],[Key]]&amp;""")"</f>
        <v>=FILTER(tab\CFG[Value];tab\CFG[Key]="rng\Receiver.Mode")</v>
      </c>
    </row>
    <row r="44" spans="1:8" x14ac:dyDescent="0.3">
      <c r="A44" s="9" t="s">
        <v>872</v>
      </c>
      <c r="C44" t="s">
        <v>867</v>
      </c>
      <c r="D44" s="5" t="s">
        <v>860</v>
      </c>
      <c r="E44" s="1"/>
      <c r="F44" s="9">
        <v>4</v>
      </c>
      <c r="G4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=INDEX(tab\CFG[Value];MATCH("rng\Receiver.Mode";tab\CFG[Key];0)):INDEX(tab\CFG[Value];MATCH("rng\Receiver.Mode";tab\CFG[Key];0)+COUNTIF(tab\CFG[Key];"rng\Receiver.Mode")-1)</v>
      </c>
      <c r="H44" t="str">
        <f>"=FILTER(tab\CFG[Value];tab\CFG[Key]="""&amp;tab\CFG[[#This Row],[Key]]&amp;""")"</f>
        <v>=FILTER(tab\CFG[Value];tab\CFG[Key]="rng\Receiver.Mode")</v>
      </c>
    </row>
    <row r="45" spans="1:8" x14ac:dyDescent="0.3">
      <c r="A45" s="9" t="s">
        <v>873</v>
      </c>
      <c r="C45" t="s">
        <v>867</v>
      </c>
      <c r="D45" s="5" t="s">
        <v>861</v>
      </c>
      <c r="E45" s="1"/>
      <c r="F45" s="9">
        <v>5</v>
      </c>
      <c r="G4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=INDEX(tab\CFG[Value];MATCH("rng\Receiver.Mode";tab\CFG[Key];0)):INDEX(tab\CFG[Value];MATCH("rng\Receiver.Mode";tab\CFG[Key];0)+COUNTIF(tab\CFG[Key];"rng\Receiver.Mode")-1)</v>
      </c>
      <c r="H45" t="str">
        <f>"=FILTER(tab\CFG[Value];tab\CFG[Key]="""&amp;tab\CFG[[#This Row],[Key]]&amp;""")"</f>
        <v>=FILTER(tab\CFG[Value];tab\CFG[Key]="rng\Receiver.Mode")</v>
      </c>
    </row>
    <row r="46" spans="1:8" x14ac:dyDescent="0.3">
      <c r="A46" s="9" t="s">
        <v>874</v>
      </c>
      <c r="C46" t="s">
        <v>867</v>
      </c>
      <c r="D46" s="5" t="s">
        <v>863</v>
      </c>
      <c r="E46" s="1"/>
      <c r="F46" s="9">
        <v>6</v>
      </c>
      <c r="G4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=INDEX(tab\CFG[Value];MATCH("rng\Receiver.Mode";tab\CFG[Key];0)):INDEX(tab\CFG[Value];MATCH("rng\Receiver.Mode";tab\CFG[Key];0)+COUNTIF(tab\CFG[Key];"rng\Receiver.Mode")-1)</v>
      </c>
      <c r="H46" t="str">
        <f>"=FILTER(tab\CFG[Value];tab\CFG[Key]="""&amp;tab\CFG[[#This Row],[Key]]&amp;""")"</f>
        <v>=FILTER(tab\CFG[Value];tab\CFG[Key]="rng\Receiver.Mode")</v>
      </c>
    </row>
    <row r="47" spans="1:8" x14ac:dyDescent="0.3">
      <c r="A47" s="9" t="s">
        <v>875</v>
      </c>
      <c r="C47" t="s">
        <v>867</v>
      </c>
      <c r="D47" s="5" t="s">
        <v>864</v>
      </c>
      <c r="E47" s="1"/>
      <c r="F47" s="9">
        <v>7</v>
      </c>
      <c r="G4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=INDEX(tab\CFG[Value];MATCH("rng\Receiver.Mode";tab\CFG[Key];0)):INDEX(tab\CFG[Value];MATCH("rng\Receiver.Mode";tab\CFG[Key];0)+COUNTIF(tab\CFG[Key];"rng\Receiver.Mode")-1)</v>
      </c>
      <c r="H47" t="str">
        <f>"=FILTER(tab\CFG[Value];tab\CFG[Key]="""&amp;tab\CFG[[#This Row],[Key]]&amp;""")"</f>
        <v>=FILTER(tab\CFG[Value];tab\CFG[Key]="rng\Receiver.Mode")</v>
      </c>
    </row>
    <row r="48" spans="1:8" x14ac:dyDescent="0.3">
      <c r="A48" s="9" t="s">
        <v>876</v>
      </c>
      <c r="C48" t="s">
        <v>867</v>
      </c>
      <c r="D48" s="5" t="s">
        <v>865</v>
      </c>
      <c r="E48" s="1"/>
      <c r="F48" s="9">
        <v>8</v>
      </c>
      <c r="G4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=INDEX(tab\CFG[Value];MATCH("rng\Receiver.Mode";tab\CFG[Key];0)):INDEX(tab\CFG[Value];MATCH("rng\Receiver.Mode";tab\CFG[Key];0)+COUNTIF(tab\CFG[Key];"rng\Receiver.Mode")-1)</v>
      </c>
      <c r="H48" t="str">
        <f>"=FILTER(tab\CFG[Value];tab\CFG[Key]="""&amp;tab\CFG[[#This Row],[Key]]&amp;""")"</f>
        <v>=FILTER(tab\CFG[Value];tab\CFG[Key]="rng\Receiver.Mode")</v>
      </c>
    </row>
    <row r="49" spans="1:8" x14ac:dyDescent="0.3">
      <c r="A49" s="9" t="s">
        <v>877</v>
      </c>
      <c r="C49" t="s">
        <v>867</v>
      </c>
      <c r="D49" s="5" t="s">
        <v>866</v>
      </c>
      <c r="E49" s="1"/>
      <c r="F49" s="9">
        <v>9</v>
      </c>
      <c r="G4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=INDEX(tab\CFG[Value];MATCH("rng\Receiver.Mode";tab\CFG[Key];0)):INDEX(tab\CFG[Value];MATCH("rng\Receiver.Mode";tab\CFG[Key];0)+COUNTIF(tab\CFG[Key];"rng\Receiver.Mode")-1)</v>
      </c>
      <c r="H49" t="str">
        <f>"=FILTER(tab\CFG[Value];tab\CFG[Key]="""&amp;tab\CFG[[#This Row],[Key]]&amp;""")"</f>
        <v>=FILTER(tab\CFG[Value];tab\CFG[Key]="rng\Receiver.Mode")</v>
      </c>
    </row>
    <row r="50" spans="1:8" x14ac:dyDescent="0.3">
      <c r="A50" s="9" t="s">
        <v>883</v>
      </c>
      <c r="B50" s="9" t="s">
        <v>882</v>
      </c>
      <c r="C50" t="s">
        <v>881</v>
      </c>
      <c r="D50" s="10" t="s">
        <v>878</v>
      </c>
      <c r="F50" s="9">
        <v>1</v>
      </c>
      <c r="G5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=INDEX(tab\CFG[Value];MATCH("rng\Receiver.Scope";tab\CFG[Key];0)):INDEX(tab\CFG[Value];MATCH("rng\Receiver.Scope";tab\CFG[Key];0)+COUNTIF(tab\CFG[Key];"rng\Receiver.Scope")-1)</v>
      </c>
      <c r="H50" t="str">
        <f>"=FILTER(tab\CFG[Value];tab\CFG[Key]="""&amp;tab\CFG[[#This Row],[Key]]&amp;""")"</f>
        <v>=FILTER(tab\CFG[Value];tab\CFG[Key]="rng\Receiver.Scope")</v>
      </c>
    </row>
    <row r="51" spans="1:8" x14ac:dyDescent="0.3">
      <c r="A51" s="9" t="s">
        <v>884</v>
      </c>
      <c r="C51" t="s">
        <v>881</v>
      </c>
      <c r="D51" s="10" t="s">
        <v>879</v>
      </c>
      <c r="F51" s="9">
        <v>2</v>
      </c>
      <c r="G5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=INDEX(tab\CFG[Value];MATCH("rng\Receiver.Scope";tab\CFG[Key];0)):INDEX(tab\CFG[Value];MATCH("rng\Receiver.Scope";tab\CFG[Key];0)+COUNTIF(tab\CFG[Key];"rng\Receiver.Scope")-1)</v>
      </c>
      <c r="H51" t="str">
        <f>"=FILTER(tab\CFG[Value];tab\CFG[Key]="""&amp;tab\CFG[[#This Row],[Key]]&amp;""")"</f>
        <v>=FILTER(tab\CFG[Value];tab\CFG[Key]="rng\Receiver.Scope")</v>
      </c>
    </row>
    <row r="52" spans="1:8" x14ac:dyDescent="0.3">
      <c r="A52" s="9" t="s">
        <v>885</v>
      </c>
      <c r="C52" t="s">
        <v>881</v>
      </c>
      <c r="D52" s="10" t="s">
        <v>880</v>
      </c>
      <c r="F52" s="9">
        <v>3</v>
      </c>
      <c r="G5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=INDEX(tab\CFG[Value];MATCH("rng\Receiver.Scope";tab\CFG[Key];0)):INDEX(tab\CFG[Value];MATCH("rng\Receiver.Scope";tab\CFG[Key];0)+COUNTIF(tab\CFG[Key];"rng\Receiver.Scope")-1)</v>
      </c>
      <c r="H52" t="str">
        <f>"=FILTER(tab\CFG[Value];tab\CFG[Key]="""&amp;tab\CFG[[#This Row],[Key]]&amp;""")"</f>
        <v>=FILTER(tab\CFG[Value];tab\CFG[Key]="rng\Receiver.Scope")</v>
      </c>
    </row>
    <row r="53" spans="1:8" x14ac:dyDescent="0.3">
      <c r="A53" s="9" t="s">
        <v>853</v>
      </c>
      <c r="B53" s="9" t="s">
        <v>852</v>
      </c>
      <c r="C53" t="s">
        <v>851</v>
      </c>
      <c r="D53" s="10" t="s">
        <v>110</v>
      </c>
      <c r="F53" s="9">
        <v>1</v>
      </c>
      <c r="G5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=INDEX(tab\CFG[Value];MATCH("rng\Receiver.Type";tab\CFG[Key];0)):INDEX(tab\CFG[Value];MATCH("rng\Receiver.Type";tab\CFG[Key];0)+COUNTIF(tab\CFG[Key];"rng\Receiver.Type")-1)</v>
      </c>
      <c r="H53" t="str">
        <f>"=FILTER(tab\CFG[Value];tab\CFG[Key]="""&amp;tab\CFG[[#This Row],[Key]]&amp;""")"</f>
        <v>=FILTER(tab\CFG[Value];tab\CFG[Key]="rng\Receiver.Type")</v>
      </c>
    </row>
    <row r="54" spans="1:8" x14ac:dyDescent="0.3">
      <c r="A54" s="9" t="s">
        <v>854</v>
      </c>
      <c r="C54" t="s">
        <v>851</v>
      </c>
      <c r="D54" s="10" t="s">
        <v>888</v>
      </c>
      <c r="F54" s="9">
        <v>2</v>
      </c>
      <c r="G5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=INDEX(tab\CFG[Value];MATCH("rng\Receiver.Type";tab\CFG[Key];0)):INDEX(tab\CFG[Value];MATCH("rng\Receiver.Type";tab\CFG[Key];0)+COUNTIF(tab\CFG[Key];"rng\Receiver.Type")-1)</v>
      </c>
      <c r="H54" t="str">
        <f>"=FILTER(tab\CFG[Value];tab\CFG[Key]="""&amp;tab\CFG[[#This Row],[Key]]&amp;""")"</f>
        <v>=FILTER(tab\CFG[Value];tab\CFG[Key]="rng\Receiver.Type")</v>
      </c>
    </row>
    <row r="55" spans="1:8" x14ac:dyDescent="0.3">
      <c r="A55" s="9" t="s">
        <v>855</v>
      </c>
      <c r="C55" t="s">
        <v>851</v>
      </c>
      <c r="D55" s="10" t="s">
        <v>108</v>
      </c>
      <c r="F55" s="9">
        <v>3</v>
      </c>
      <c r="G5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=INDEX(tab\CFG[Value];MATCH("rng\Receiver.Type";tab\CFG[Key];0)):INDEX(tab\CFG[Value];MATCH("rng\Receiver.Type";tab\CFG[Key];0)+COUNTIF(tab\CFG[Key];"rng\Receiver.Type")-1)</v>
      </c>
      <c r="H55" t="str">
        <f>"=FILTER(tab\CFG[Value];tab\CFG[Key]="""&amp;tab\CFG[[#This Row],[Key]]&amp;""")"</f>
        <v>=FILTER(tab\CFG[Value];tab\CFG[Key]="rng\Receiver.Type")</v>
      </c>
    </row>
    <row r="56" spans="1:8" x14ac:dyDescent="0.3">
      <c r="A56" s="9" t="s">
        <v>856</v>
      </c>
      <c r="C56" t="s">
        <v>851</v>
      </c>
      <c r="D56" s="10" t="s">
        <v>889</v>
      </c>
      <c r="F56" s="9">
        <v>4</v>
      </c>
      <c r="G5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=INDEX(tab\CFG[Value];MATCH("rng\Receiver.Type";tab\CFG[Key];0)):INDEX(tab\CFG[Value];MATCH("rng\Receiver.Type";tab\CFG[Key];0)+COUNTIF(tab\CFG[Key];"rng\Receiver.Type")-1)</v>
      </c>
      <c r="H56" t="str">
        <f>"=FILTER(tab\CFG[Value];tab\CFG[Key]="""&amp;tab\CFG[[#This Row],[Key]]&amp;""")"</f>
        <v>=FILTER(tab\CFG[Value];tab\CFG[Key]="rng\Receiver.Type")</v>
      </c>
    </row>
    <row r="57" spans="1:8" x14ac:dyDescent="0.3">
      <c r="A57" s="9" t="s">
        <v>857</v>
      </c>
      <c r="C57" t="s">
        <v>851</v>
      </c>
      <c r="D57" s="10" t="s">
        <v>866</v>
      </c>
      <c r="F57" s="9">
        <v>5</v>
      </c>
      <c r="G5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=INDEX(tab\CFG[Value];MATCH("rng\Receiver.Type";tab\CFG[Key];0)):INDEX(tab\CFG[Value];MATCH("rng\Receiver.Type";tab\CFG[Key];0)+COUNTIF(tab\CFG[Key];"rng\Receiver.Type")-1)</v>
      </c>
      <c r="H57" t="str">
        <f>"=FILTER(tab\CFG[Value];tab\CFG[Key]="""&amp;tab\CFG[[#This Row],[Key]]&amp;""")"</f>
        <v>=FILTER(tab\CFG[Value];tab\CFG[Key]="rng\Receiver.Type")</v>
      </c>
    </row>
    <row r="58" spans="1:8" x14ac:dyDescent="0.3">
      <c r="A58" s="9" t="s">
        <v>1006</v>
      </c>
      <c r="B58" s="9" t="s">
        <v>997</v>
      </c>
      <c r="C58" t="s">
        <v>1005</v>
      </c>
      <c r="D58" s="10" t="s">
        <v>9</v>
      </c>
      <c r="F58" s="9">
        <v>1</v>
      </c>
      <c r="G5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=INDEX(tab\CFG[Value];MATCH("rng\Risk.Acceptance";tab\CFG[Key];0)):INDEX(tab\CFG[Value];MATCH("rng\Risk.Acceptance";tab\CFG[Key];0)+COUNTIF(tab\CFG[Key];"rng\Risk.Acceptance")-1)</v>
      </c>
      <c r="H58" t="str">
        <f>"=FILTER(tab\CFG[Value];tab\CFG[Key]="""&amp;tab\CFG[[#This Row],[Key]]&amp;""")"</f>
        <v>=FILTER(tab\CFG[Value];tab\CFG[Key]="rng\Risk.Acceptance")</v>
      </c>
    </row>
    <row r="59" spans="1:8" x14ac:dyDescent="0.3">
      <c r="A59" s="9" t="s">
        <v>1007</v>
      </c>
      <c r="C59" t="s">
        <v>1005</v>
      </c>
      <c r="D59" s="10" t="s">
        <v>1055</v>
      </c>
      <c r="F59" s="9">
        <v>2</v>
      </c>
      <c r="G5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=INDEX(tab\CFG[Value];MATCH("rng\Risk.Acceptance";tab\CFG[Key];0)):INDEX(tab\CFG[Value];MATCH("rng\Risk.Acceptance";tab\CFG[Key];0)+COUNTIF(tab\CFG[Key];"rng\Risk.Acceptance")-1)</v>
      </c>
      <c r="H59" t="str">
        <f>"=FILTER(tab\CFG[Value];tab\CFG[Key]="""&amp;tab\CFG[[#This Row],[Key]]&amp;""")"</f>
        <v>=FILTER(tab\CFG[Value];tab\CFG[Key]="rng\Risk.Acceptance")</v>
      </c>
    </row>
    <row r="60" spans="1:8" x14ac:dyDescent="0.3">
      <c r="A60" s="9" t="s">
        <v>1008</v>
      </c>
      <c r="C60" t="s">
        <v>1005</v>
      </c>
      <c r="D60" s="10" t="s">
        <v>10</v>
      </c>
      <c r="F60" s="9">
        <v>3</v>
      </c>
      <c r="G6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=INDEX(tab\CFG[Value];MATCH("rng\Risk.Acceptance";tab\CFG[Key];0)):INDEX(tab\CFG[Value];MATCH("rng\Risk.Acceptance";tab\CFG[Key];0)+COUNTIF(tab\CFG[Key];"rng\Risk.Acceptance")-1)</v>
      </c>
      <c r="H60" t="str">
        <f>"=FILTER(tab\CFG[Value];tab\CFG[Key]="""&amp;tab\CFG[[#This Row],[Key]]&amp;""")"</f>
        <v>=FILTER(tab\CFG[Value];tab\CFG[Key]="rng\Risk.Acceptance")</v>
      </c>
    </row>
    <row r="61" spans="1:8" x14ac:dyDescent="0.3">
      <c r="A61" s="9" t="s">
        <v>790</v>
      </c>
      <c r="B61" s="9" t="s">
        <v>760</v>
      </c>
      <c r="C61" t="s">
        <v>763</v>
      </c>
      <c r="D61" s="10" t="s">
        <v>57</v>
      </c>
      <c r="F61" s="9">
        <v>1</v>
      </c>
      <c r="G6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61" t="str">
        <f>"=FILTER(tab\CFG[Value];tab\CFG[Key]="""&amp;tab\CFG[[#This Row],[Key]]&amp;""")"</f>
        <v>=FILTER(tab\CFG[Value];tab\CFG[Key]="rng\Risk.Areas")</v>
      </c>
    </row>
    <row r="62" spans="1:8" x14ac:dyDescent="0.3">
      <c r="A62" s="9" t="s">
        <v>791</v>
      </c>
      <c r="C62" t="s">
        <v>763</v>
      </c>
      <c r="D62" s="10" t="s">
        <v>63</v>
      </c>
      <c r="F62" s="9">
        <v>2</v>
      </c>
      <c r="G6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62" t="str">
        <f>"=FILTER(tab\CFG[Value];tab\CFG[Key]="""&amp;tab\CFG[[#This Row],[Key]]&amp;""")"</f>
        <v>=FILTER(tab\CFG[Value];tab\CFG[Key]="rng\Risk.Areas")</v>
      </c>
    </row>
    <row r="63" spans="1:8" x14ac:dyDescent="0.3">
      <c r="A63" s="9" t="s">
        <v>792</v>
      </c>
      <c r="C63" t="s">
        <v>763</v>
      </c>
      <c r="D63" s="10" t="s">
        <v>665</v>
      </c>
      <c r="F63" s="9">
        <v>3</v>
      </c>
      <c r="G6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63" t="str">
        <f>"=FILTER(tab\CFG[Value];tab\CFG[Key]="""&amp;tab\CFG[[#This Row],[Key]]&amp;""")"</f>
        <v>=FILTER(tab\CFG[Value];tab\CFG[Key]="rng\Risk.Areas")</v>
      </c>
    </row>
    <row r="64" spans="1:8" x14ac:dyDescent="0.3">
      <c r="A64" s="9" t="s">
        <v>793</v>
      </c>
      <c r="C64" t="s">
        <v>763</v>
      </c>
      <c r="D64" s="10" t="s">
        <v>72</v>
      </c>
      <c r="F64" s="9">
        <v>4</v>
      </c>
      <c r="G6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64" t="str">
        <f>"=FILTER(tab\CFG[Value];tab\CFG[Key]="""&amp;tab\CFG[[#This Row],[Key]]&amp;""")"</f>
        <v>=FILTER(tab\CFG[Value];tab\CFG[Key]="rng\Risk.Areas")</v>
      </c>
    </row>
    <row r="65" spans="1:8" x14ac:dyDescent="0.3">
      <c r="A65" s="9" t="s">
        <v>794</v>
      </c>
      <c r="C65" t="s">
        <v>763</v>
      </c>
      <c r="D65" s="10" t="s">
        <v>75</v>
      </c>
      <c r="F65" s="9">
        <v>5</v>
      </c>
      <c r="G6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65" t="str">
        <f>"=FILTER(tab\CFG[Value];tab\CFG[Key]="""&amp;tab\CFG[[#This Row],[Key]]&amp;""")"</f>
        <v>=FILTER(tab\CFG[Value];tab\CFG[Key]="rng\Risk.Areas")</v>
      </c>
    </row>
    <row r="66" spans="1:8" x14ac:dyDescent="0.3">
      <c r="A66" s="9" t="s">
        <v>795</v>
      </c>
      <c r="C66" t="s">
        <v>763</v>
      </c>
      <c r="D66" s="10" t="s">
        <v>79</v>
      </c>
      <c r="F66" s="9">
        <v>6</v>
      </c>
      <c r="G6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66" t="str">
        <f>"=FILTER(tab\CFG[Value];tab\CFG[Key]="""&amp;tab\CFG[[#This Row],[Key]]&amp;""")"</f>
        <v>=FILTER(tab\CFG[Value];tab\CFG[Key]="rng\Risk.Areas")</v>
      </c>
    </row>
    <row r="67" spans="1:8" x14ac:dyDescent="0.3">
      <c r="A67" s="9" t="s">
        <v>796</v>
      </c>
      <c r="C67" t="s">
        <v>763</v>
      </c>
      <c r="D67" s="10" t="s">
        <v>82</v>
      </c>
      <c r="F67" s="9">
        <v>7</v>
      </c>
      <c r="G6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67" t="str">
        <f>"=FILTER(tab\CFG[Value];tab\CFG[Key]="""&amp;tab\CFG[[#This Row],[Key]]&amp;""")"</f>
        <v>=FILTER(tab\CFG[Value];tab\CFG[Key]="rng\Risk.Areas")</v>
      </c>
    </row>
    <row r="68" spans="1:8" x14ac:dyDescent="0.3">
      <c r="A68" s="9" t="s">
        <v>797</v>
      </c>
      <c r="C68" t="s">
        <v>763</v>
      </c>
      <c r="D68" s="10" t="s">
        <v>84</v>
      </c>
      <c r="F68" s="9">
        <v>8</v>
      </c>
      <c r="G6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68" t="str">
        <f>"=FILTER(tab\CFG[Value];tab\CFG[Key]="""&amp;tab\CFG[[#This Row],[Key]]&amp;""")"</f>
        <v>=FILTER(tab\CFG[Value];tab\CFG[Key]="rng\Risk.Areas")</v>
      </c>
    </row>
    <row r="69" spans="1:8" x14ac:dyDescent="0.3">
      <c r="A69" s="9" t="s">
        <v>798</v>
      </c>
      <c r="C69" t="s">
        <v>763</v>
      </c>
      <c r="D69" s="10" t="s">
        <v>88</v>
      </c>
      <c r="F69" s="9">
        <v>9</v>
      </c>
      <c r="G6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69" t="str">
        <f>"=FILTER(tab\CFG[Value];tab\CFG[Key]="""&amp;tab\CFG[[#This Row],[Key]]&amp;""")"</f>
        <v>=FILTER(tab\CFG[Value];tab\CFG[Key]="rng\Risk.Areas")</v>
      </c>
    </row>
    <row r="70" spans="1:8" x14ac:dyDescent="0.3">
      <c r="A70" s="9" t="s">
        <v>799</v>
      </c>
      <c r="C70" t="s">
        <v>763</v>
      </c>
      <c r="D70" s="10" t="s">
        <v>91</v>
      </c>
      <c r="F70" s="9">
        <v>10</v>
      </c>
      <c r="G7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70" t="str">
        <f>"=FILTER(tab\CFG[Value];tab\CFG[Key]="""&amp;tab\CFG[[#This Row],[Key]]&amp;""")"</f>
        <v>=FILTER(tab\CFG[Value];tab\CFG[Key]="rng\Risk.Areas")</v>
      </c>
    </row>
    <row r="71" spans="1:8" x14ac:dyDescent="0.3">
      <c r="A71" s="9" t="s">
        <v>800</v>
      </c>
      <c r="C71" t="s">
        <v>763</v>
      </c>
      <c r="D71" s="10" t="s">
        <v>94</v>
      </c>
      <c r="F71" s="9">
        <v>11</v>
      </c>
      <c r="G7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71" t="str">
        <f>"=FILTER(tab\CFG[Value];tab\CFG[Key]="""&amp;tab\CFG[[#This Row],[Key]]&amp;""")"</f>
        <v>=FILTER(tab\CFG[Value];tab\CFG[Key]="rng\Risk.Areas")</v>
      </c>
    </row>
    <row r="72" spans="1:8" x14ac:dyDescent="0.3">
      <c r="A72" s="9" t="s">
        <v>801</v>
      </c>
      <c r="C72" t="s">
        <v>763</v>
      </c>
      <c r="D72" s="10" t="s">
        <v>96</v>
      </c>
      <c r="F72" s="9">
        <v>12</v>
      </c>
      <c r="G7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72" t="str">
        <f>"=FILTER(tab\CFG[Value];tab\CFG[Key]="""&amp;tab\CFG[[#This Row],[Key]]&amp;""")"</f>
        <v>=FILTER(tab\CFG[Value];tab\CFG[Key]="rng\Risk.Areas")</v>
      </c>
    </row>
    <row r="73" spans="1:8" x14ac:dyDescent="0.3">
      <c r="A73" s="9" t="s">
        <v>802</v>
      </c>
      <c r="C73" t="s">
        <v>763</v>
      </c>
      <c r="D73" s="10" t="s">
        <v>98</v>
      </c>
      <c r="F73" s="9">
        <v>13</v>
      </c>
      <c r="G7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=INDEX(tab\CFG[Value];MATCH("rng\Risk.Areas";tab\CFG[Key];0)):INDEX(tab\CFG[Value];MATCH("rng\Risk.Areas";tab\CFG[Key];0)+COUNTIF(tab\CFG[Key];"rng\Risk.Areas")-1)</v>
      </c>
      <c r="H73" t="str">
        <f>"=FILTER(tab\CFG[Value];tab\CFG[Key]="""&amp;tab\CFG[[#This Row],[Key]]&amp;""")"</f>
        <v>=FILTER(tab\CFG[Value];tab\CFG[Key]="rng\Risk.Areas")</v>
      </c>
    </row>
    <row r="74" spans="1:8" x14ac:dyDescent="0.3">
      <c r="A74" s="9" t="s">
        <v>1027</v>
      </c>
      <c r="B74" s="9" t="s">
        <v>1001</v>
      </c>
      <c r="C74" t="s">
        <v>1024</v>
      </c>
      <c r="D74" s="10" t="s">
        <v>509</v>
      </c>
      <c r="F74" s="9">
        <v>1</v>
      </c>
      <c r="G7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=INDEX(tab\CFG[Value];MATCH("rng\Risk.AssessmentLevel";tab\CFG[Key];0)):INDEX(tab\CFG[Value];MATCH("rng\Risk.AssessmentLevel";tab\CFG[Key];0)+COUNTIF(tab\CFG[Key];"rng\Risk.AssessmentLevel")-1)</v>
      </c>
      <c r="H74" t="str">
        <f>"=FILTER(tab\CFG[Value];tab\CFG[Key]="""&amp;tab\CFG[[#This Row],[Key]]&amp;""")"</f>
        <v>=FILTER(tab\CFG[Value];tab\CFG[Key]="rng\Risk.AssessmentLevel")</v>
      </c>
    </row>
    <row r="75" spans="1:8" x14ac:dyDescent="0.3">
      <c r="A75" s="9" t="s">
        <v>1028</v>
      </c>
      <c r="C75" t="s">
        <v>1024</v>
      </c>
      <c r="D75" s="10" t="s">
        <v>1025</v>
      </c>
      <c r="F75" s="9">
        <v>2</v>
      </c>
      <c r="G7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=INDEX(tab\CFG[Value];MATCH("rng\Risk.AssessmentLevel";tab\CFG[Key];0)):INDEX(tab\CFG[Value];MATCH("rng\Risk.AssessmentLevel";tab\CFG[Key];0)+COUNTIF(tab\CFG[Key];"rng\Risk.AssessmentLevel")-1)</v>
      </c>
      <c r="H75" t="str">
        <f>"=FILTER(tab\CFG[Value];tab\CFG[Key]="""&amp;tab\CFG[[#This Row],[Key]]&amp;""")"</f>
        <v>=FILTER(tab\CFG[Value];tab\CFG[Key]="rng\Risk.AssessmentLevel")</v>
      </c>
    </row>
    <row r="76" spans="1:8" x14ac:dyDescent="0.3">
      <c r="A76" s="9" t="s">
        <v>1029</v>
      </c>
      <c r="C76" t="s">
        <v>1024</v>
      </c>
      <c r="D76" s="10" t="s">
        <v>511</v>
      </c>
      <c r="F76" s="9">
        <v>3</v>
      </c>
      <c r="G7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=INDEX(tab\CFG[Value];MATCH("rng\Risk.AssessmentLevel";tab\CFG[Key];0)):INDEX(tab\CFG[Value];MATCH("rng\Risk.AssessmentLevel";tab\CFG[Key];0)+COUNTIF(tab\CFG[Key];"rng\Risk.AssessmentLevel")-1)</v>
      </c>
      <c r="H76" t="str">
        <f>"=FILTER(tab\CFG[Value];tab\CFG[Key]="""&amp;tab\CFG[[#This Row],[Key]]&amp;""")"</f>
        <v>=FILTER(tab\CFG[Value];tab\CFG[Key]="rng\Risk.AssessmentLevel")</v>
      </c>
    </row>
    <row r="77" spans="1:8" x14ac:dyDescent="0.3">
      <c r="A77" s="9" t="s">
        <v>1030</v>
      </c>
      <c r="C77" t="s">
        <v>1024</v>
      </c>
      <c r="D77" s="10" t="s">
        <v>1026</v>
      </c>
      <c r="F77" s="9">
        <v>4</v>
      </c>
      <c r="G7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=INDEX(tab\CFG[Value];MATCH("rng\Risk.AssessmentLevel";tab\CFG[Key];0)):INDEX(tab\CFG[Value];MATCH("rng\Risk.AssessmentLevel";tab\CFG[Key];0)+COUNTIF(tab\CFG[Key];"rng\Risk.AssessmentLevel")-1)</v>
      </c>
      <c r="H77" t="str">
        <f>"=FILTER(tab\CFG[Value];tab\CFG[Key]="""&amp;tab\CFG[[#This Row],[Key]]&amp;""")"</f>
        <v>=FILTER(tab\CFG[Value];tab\CFG[Key]="rng\Risk.AssessmentLevel")</v>
      </c>
    </row>
    <row r="78" spans="1:8" x14ac:dyDescent="0.3">
      <c r="A78" s="9" t="s">
        <v>803</v>
      </c>
      <c r="B78" s="9" t="s">
        <v>753</v>
      </c>
      <c r="C78" t="s">
        <v>764</v>
      </c>
      <c r="D78" s="10" t="s">
        <v>509</v>
      </c>
      <c r="F78" s="9">
        <v>1</v>
      </c>
      <c r="G7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=INDEX(tab\CFG[Value];MATCH("rng\Risk.Level";tab\CFG[Key];0)):INDEX(tab\CFG[Value];MATCH("rng\Risk.Level";tab\CFG[Key];0)+COUNTIF(tab\CFG[Key];"rng\Risk.Level")-1)</v>
      </c>
      <c r="H78" t="str">
        <f>"=FILTER(tab\CFG[Value];tab\CFG[Key]="""&amp;tab\CFG[[#This Row],[Key]]&amp;""")"</f>
        <v>=FILTER(tab\CFG[Value];tab\CFG[Key]="rng\Risk.Level")</v>
      </c>
    </row>
    <row r="79" spans="1:8" x14ac:dyDescent="0.3">
      <c r="A79" s="9" t="s">
        <v>804</v>
      </c>
      <c r="C79" t="s">
        <v>764</v>
      </c>
      <c r="D79" s="10" t="s">
        <v>510</v>
      </c>
      <c r="F79" s="9">
        <v>2</v>
      </c>
      <c r="G7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=INDEX(tab\CFG[Value];MATCH("rng\Risk.Level";tab\CFG[Key];0)):INDEX(tab\CFG[Value];MATCH("rng\Risk.Level";tab\CFG[Key];0)+COUNTIF(tab\CFG[Key];"rng\Risk.Level")-1)</v>
      </c>
      <c r="H79" t="str">
        <f>"=FILTER(tab\CFG[Value];tab\CFG[Key]="""&amp;tab\CFG[[#This Row],[Key]]&amp;""")"</f>
        <v>=FILTER(tab\CFG[Value];tab\CFG[Key]="rng\Risk.Level")</v>
      </c>
    </row>
    <row r="80" spans="1:8" x14ac:dyDescent="0.3">
      <c r="A80" s="9" t="s">
        <v>805</v>
      </c>
      <c r="C80" t="s">
        <v>764</v>
      </c>
      <c r="D80" s="10" t="s">
        <v>511</v>
      </c>
      <c r="F80" s="9">
        <v>3</v>
      </c>
      <c r="G8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=INDEX(tab\CFG[Value];MATCH("rng\Risk.Level";tab\CFG[Key];0)):INDEX(tab\CFG[Value];MATCH("rng\Risk.Level";tab\CFG[Key];0)+COUNTIF(tab\CFG[Key];"rng\Risk.Level")-1)</v>
      </c>
      <c r="H80" t="str">
        <f>"=FILTER(tab\CFG[Value];tab\CFG[Key]="""&amp;tab\CFG[[#This Row],[Key]]&amp;""")"</f>
        <v>=FILTER(tab\CFG[Value];tab\CFG[Key]="rng\Risk.Level")</v>
      </c>
    </row>
    <row r="81" spans="1:8" x14ac:dyDescent="0.3">
      <c r="A81" s="9" t="s">
        <v>993</v>
      </c>
      <c r="B81" s="9" t="s">
        <v>992</v>
      </c>
      <c r="C81" t="s">
        <v>991</v>
      </c>
      <c r="D81" s="10">
        <v>1</v>
      </c>
      <c r="F81" s="9">
        <v>1</v>
      </c>
      <c r="G8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=INDEX(tab\CFG[Value];MATCH("rng\Risk.Probability";tab\CFG[Key];0)):INDEX(tab\CFG[Value];MATCH("rng\Risk.Probability";tab\CFG[Key];0)+COUNTIF(tab\CFG[Key];"rng\Risk.Probability")-1)</v>
      </c>
      <c r="H81" t="str">
        <f>"=FILTER(tab\CFG[Value];tab\CFG[Key]="""&amp;tab\CFG[[#This Row],[Key]]&amp;""")"</f>
        <v>=FILTER(tab\CFG[Value];tab\CFG[Key]="rng\Risk.Probability")</v>
      </c>
    </row>
    <row r="82" spans="1:8" x14ac:dyDescent="0.3">
      <c r="A82" s="9" t="s">
        <v>994</v>
      </c>
      <c r="C82" t="s">
        <v>991</v>
      </c>
      <c r="D82" s="10">
        <v>2</v>
      </c>
      <c r="F82" s="9">
        <v>2</v>
      </c>
      <c r="G8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=INDEX(tab\CFG[Value];MATCH("rng\Risk.Probability";tab\CFG[Key];0)):INDEX(tab\CFG[Value];MATCH("rng\Risk.Probability";tab\CFG[Key];0)+COUNTIF(tab\CFG[Key];"rng\Risk.Probability")-1)</v>
      </c>
      <c r="H82" t="str">
        <f>"=FILTER(tab\CFG[Value];tab\CFG[Key]="""&amp;tab\CFG[[#This Row],[Key]]&amp;""")"</f>
        <v>=FILTER(tab\CFG[Value];tab\CFG[Key]="rng\Risk.Probability")</v>
      </c>
    </row>
    <row r="83" spans="1:8" x14ac:dyDescent="0.3">
      <c r="A83" s="9" t="s">
        <v>996</v>
      </c>
      <c r="C83" t="s">
        <v>991</v>
      </c>
      <c r="D83" s="10">
        <v>3</v>
      </c>
      <c r="F83" s="9">
        <v>3</v>
      </c>
      <c r="G8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=INDEX(tab\CFG[Value];MATCH("rng\Risk.Probability";tab\CFG[Key];0)):INDEX(tab\CFG[Value];MATCH("rng\Risk.Probability";tab\CFG[Key];0)+COUNTIF(tab\CFG[Key];"rng\Risk.Probability")-1)</v>
      </c>
      <c r="H83" t="str">
        <f>"=FILTER(tab\CFG[Value];tab\CFG[Key]="""&amp;tab\CFG[[#This Row],[Key]]&amp;""")"</f>
        <v>=FILTER(tab\CFG[Value];tab\CFG[Key]="rng\Risk.Probability")</v>
      </c>
    </row>
    <row r="84" spans="1:8" x14ac:dyDescent="0.3">
      <c r="A84" s="9" t="s">
        <v>998</v>
      </c>
      <c r="C84" t="s">
        <v>991</v>
      </c>
      <c r="D84" s="10">
        <v>4</v>
      </c>
      <c r="F84" s="9">
        <v>4</v>
      </c>
      <c r="G8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=INDEX(tab\CFG[Value];MATCH("rng\Risk.Probability";tab\CFG[Key];0)):INDEX(tab\CFG[Value];MATCH("rng\Risk.Probability";tab\CFG[Key];0)+COUNTIF(tab\CFG[Key];"rng\Risk.Probability")-1)</v>
      </c>
      <c r="H84" t="str">
        <f>"=FILTER(tab\CFG[Value];tab\CFG[Key]="""&amp;tab\CFG[[#This Row],[Key]]&amp;""")"</f>
        <v>=FILTER(tab\CFG[Value];tab\CFG[Key]="rng\Risk.Probability")</v>
      </c>
    </row>
    <row r="85" spans="1:8" x14ac:dyDescent="0.3">
      <c r="A85" s="9" t="s">
        <v>1000</v>
      </c>
      <c r="C85" t="s">
        <v>991</v>
      </c>
      <c r="D85" s="10">
        <v>5</v>
      </c>
      <c r="F85" s="9">
        <v>5</v>
      </c>
      <c r="G8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=INDEX(tab\CFG[Value];MATCH("rng\Risk.Probability";tab\CFG[Key];0)):INDEX(tab\CFG[Value];MATCH("rng\Risk.Probability";tab\CFG[Key];0)+COUNTIF(tab\CFG[Key];"rng\Risk.Probability")-1)</v>
      </c>
      <c r="H85" t="str">
        <f>"=FILTER(tab\CFG[Value];tab\CFG[Key]="""&amp;tab\CFG[[#This Row],[Key]]&amp;""")"</f>
        <v>=FILTER(tab\CFG[Value];tab\CFG[Key]="rng\Risk.Probability")</v>
      </c>
    </row>
    <row r="86" spans="1:8" x14ac:dyDescent="0.3">
      <c r="A86" s="9" t="s">
        <v>1012</v>
      </c>
      <c r="B86" s="9" t="s">
        <v>999</v>
      </c>
      <c r="C86" s="76" t="s">
        <v>1031</v>
      </c>
      <c r="D86" s="10" t="s">
        <v>719</v>
      </c>
      <c r="E86" t="s">
        <v>1016</v>
      </c>
      <c r="F86" s="9">
        <v>1</v>
      </c>
      <c r="G8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=INDEX(tab\CFG[Value];MATCH("rng\Risk.Strategy";tab\CFG[Key];0)):INDEX(tab\CFG[Value];MATCH("rng\Risk.Strategy";tab\CFG[Key];0)+COUNTIF(tab\CFG[Key];"rng\Risk.Strategy")-1)</v>
      </c>
      <c r="H86" t="str">
        <f>"=FILTER(tab\CFG[Value];tab\CFG[Key]="""&amp;tab\CFG[[#This Row],[Key]]&amp;""")"</f>
        <v>=FILTER(tab\CFG[Value];tab\CFG[Key]="rng\Risk.Strategy")</v>
      </c>
    </row>
    <row r="87" spans="1:8" x14ac:dyDescent="0.3">
      <c r="A87" s="9" t="s">
        <v>1013</v>
      </c>
      <c r="C87" s="76" t="s">
        <v>1031</v>
      </c>
      <c r="D87" s="10" t="s">
        <v>1009</v>
      </c>
      <c r="E87" t="s">
        <v>1017</v>
      </c>
      <c r="F87" s="9">
        <v>2</v>
      </c>
      <c r="G8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=INDEX(tab\CFG[Value];MATCH("rng\Risk.Strategy";tab\CFG[Key];0)):INDEX(tab\CFG[Value];MATCH("rng\Risk.Strategy";tab\CFG[Key];0)+COUNTIF(tab\CFG[Key];"rng\Risk.Strategy")-1)</v>
      </c>
      <c r="H87" t="str">
        <f>"=FILTER(tab\CFG[Value];tab\CFG[Key]="""&amp;tab\CFG[[#This Row],[Key]]&amp;""")"</f>
        <v>=FILTER(tab\CFG[Value];tab\CFG[Key]="rng\Risk.Strategy")</v>
      </c>
    </row>
    <row r="88" spans="1:8" x14ac:dyDescent="0.3">
      <c r="A88" s="9" t="s">
        <v>1014</v>
      </c>
      <c r="C88" s="76" t="s">
        <v>1031</v>
      </c>
      <c r="D88" s="10" t="s">
        <v>1010</v>
      </c>
      <c r="E88" t="s">
        <v>1018</v>
      </c>
      <c r="F88" s="9">
        <v>3</v>
      </c>
      <c r="G8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=INDEX(tab\CFG[Value];MATCH("rng\Risk.Strategy";tab\CFG[Key];0)):INDEX(tab\CFG[Value];MATCH("rng\Risk.Strategy";tab\CFG[Key];0)+COUNTIF(tab\CFG[Key];"rng\Risk.Strategy")-1)</v>
      </c>
      <c r="H88" t="str">
        <f>"=FILTER(tab\CFG[Value];tab\CFG[Key]="""&amp;tab\CFG[[#This Row],[Key]]&amp;""")"</f>
        <v>=FILTER(tab\CFG[Value];tab\CFG[Key]="rng\Risk.Strategy")</v>
      </c>
    </row>
    <row r="89" spans="1:8" x14ac:dyDescent="0.3">
      <c r="A89" s="9" t="s">
        <v>1015</v>
      </c>
      <c r="C89" s="76" t="s">
        <v>1031</v>
      </c>
      <c r="D89" s="10" t="s">
        <v>1011</v>
      </c>
      <c r="E89" t="s">
        <v>1019</v>
      </c>
      <c r="F89" s="9">
        <v>4</v>
      </c>
      <c r="G8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=INDEX(tab\CFG[Value];MATCH("rng\Risk.Strategy";tab\CFG[Key];0)):INDEX(tab\CFG[Value];MATCH("rng\Risk.Strategy";tab\CFG[Key];0)+COUNTIF(tab\CFG[Key];"rng\Risk.Strategy")-1)</v>
      </c>
      <c r="H89" t="str">
        <f>"=FILTER(tab\CFG[Value];tab\CFG[Key]="""&amp;tab\CFG[[#This Row],[Key]]&amp;""")"</f>
        <v>=FILTER(tab\CFG[Value];tab\CFG[Key]="rng\Risk.Strategy")</v>
      </c>
    </row>
    <row r="90" spans="1:8" x14ac:dyDescent="0.3">
      <c r="A90" s="9" t="s">
        <v>806</v>
      </c>
      <c r="B90" s="9" t="s">
        <v>741</v>
      </c>
      <c r="C90" t="s">
        <v>761</v>
      </c>
      <c r="D90" s="10" t="s">
        <v>11</v>
      </c>
      <c r="F90" s="9">
        <v>1</v>
      </c>
      <c r="G9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=INDEX(tab\CFG[Value];MATCH("rng\Role";tab\CFG[Key];0)):INDEX(tab\CFG[Value];MATCH("rng\Role";tab\CFG[Key];0)+COUNTIF(tab\CFG[Key];"rng\Role")-1)</v>
      </c>
      <c r="H90" t="str">
        <f>"=FILTER(tab\CFG[Value];tab\CFG[Key]="""&amp;tab\CFG[[#This Row],[Key]]&amp;""")"</f>
        <v>=FILTER(tab\CFG[Value];tab\CFG[Key]="rng\Role")</v>
      </c>
    </row>
    <row r="91" spans="1:8" x14ac:dyDescent="0.3">
      <c r="A91" s="9" t="s">
        <v>807</v>
      </c>
      <c r="C91" t="s">
        <v>761</v>
      </c>
      <c r="D91" s="10" t="s">
        <v>103</v>
      </c>
      <c r="F91" s="9">
        <v>2</v>
      </c>
      <c r="G9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=INDEX(tab\CFG[Value];MATCH("rng\Role";tab\CFG[Key];0)):INDEX(tab\CFG[Value];MATCH("rng\Role";tab\CFG[Key];0)+COUNTIF(tab\CFG[Key];"rng\Role")-1)</v>
      </c>
      <c r="H91" t="str">
        <f>"=FILTER(tab\CFG[Value];tab\CFG[Key]="""&amp;tab\CFG[[#This Row],[Key]]&amp;""")"</f>
        <v>=FILTER(tab\CFG[Value];tab\CFG[Key]="rng\Role")</v>
      </c>
    </row>
    <row r="92" spans="1:8" x14ac:dyDescent="0.3">
      <c r="A92" s="9" t="s">
        <v>808</v>
      </c>
      <c r="C92" t="s">
        <v>761</v>
      </c>
      <c r="D92" s="10" t="s">
        <v>105</v>
      </c>
      <c r="F92" s="9">
        <v>3</v>
      </c>
      <c r="G9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=INDEX(tab\CFG[Value];MATCH("rng\Role";tab\CFG[Key];0)):INDEX(tab\CFG[Value];MATCH("rng\Role";tab\CFG[Key];0)+COUNTIF(tab\CFG[Key];"rng\Role")-1)</v>
      </c>
      <c r="H92" t="str">
        <f>"=FILTER(tab\CFG[Value];tab\CFG[Key]="""&amp;tab\CFG[[#This Row],[Key]]&amp;""")"</f>
        <v>=FILTER(tab\CFG[Value];tab\CFG[Key]="rng\Role")</v>
      </c>
    </row>
    <row r="93" spans="1:8" x14ac:dyDescent="0.3">
      <c r="A93" s="9" t="s">
        <v>809</v>
      </c>
      <c r="C93" t="s">
        <v>761</v>
      </c>
      <c r="D93" s="10" t="s">
        <v>104</v>
      </c>
      <c r="F93" s="9">
        <v>4</v>
      </c>
      <c r="G9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=INDEX(tab\CFG[Value];MATCH("rng\Role";tab\CFG[Key];0)):INDEX(tab\CFG[Value];MATCH("rng\Role";tab\CFG[Key];0)+COUNTIF(tab\CFG[Key];"rng\Role")-1)</v>
      </c>
      <c r="H93" t="str">
        <f>"=FILTER(tab\CFG[Value];tab\CFG[Key]="""&amp;tab\CFG[[#This Row],[Key]]&amp;""")"</f>
        <v>=FILTER(tab\CFG[Value];tab\CFG[Key]="rng\Role")</v>
      </c>
    </row>
    <row r="94" spans="1:8" x14ac:dyDescent="0.3">
      <c r="A94" s="9" t="s">
        <v>810</v>
      </c>
      <c r="C94" t="s">
        <v>761</v>
      </c>
      <c r="D94" s="10" t="s">
        <v>106</v>
      </c>
      <c r="F94" s="9">
        <v>5</v>
      </c>
      <c r="G9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=INDEX(tab\CFG[Value];MATCH("rng\Role";tab\CFG[Key];0)):INDEX(tab\CFG[Value];MATCH("rng\Role";tab\CFG[Key];0)+COUNTIF(tab\CFG[Key];"rng\Role")-1)</v>
      </c>
      <c r="H94" t="str">
        <f>"=FILTER(tab\CFG[Value];tab\CFG[Key]="""&amp;tab\CFG[[#This Row],[Key]]&amp;""")"</f>
        <v>=FILTER(tab\CFG[Value];tab\CFG[Key]="rng\Role")</v>
      </c>
    </row>
    <row r="95" spans="1:8" x14ac:dyDescent="0.3">
      <c r="A95" s="9" t="s">
        <v>811</v>
      </c>
      <c r="C95" t="s">
        <v>761</v>
      </c>
      <c r="D95" s="10" t="s">
        <v>107</v>
      </c>
      <c r="F95" s="9">
        <v>6</v>
      </c>
      <c r="G9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=INDEX(tab\CFG[Value];MATCH("rng\Role";tab\CFG[Key];0)):INDEX(tab\CFG[Value];MATCH("rng\Role";tab\CFG[Key];0)+COUNTIF(tab\CFG[Key];"rng\Role")-1)</v>
      </c>
      <c r="H95" t="str">
        <f>"=FILTER(tab\CFG[Value];tab\CFG[Key]="""&amp;tab\CFG[[#This Row],[Key]]&amp;""")"</f>
        <v>=FILTER(tab\CFG[Value];tab\CFG[Key]="rng\Role")</v>
      </c>
    </row>
    <row r="96" spans="1:8" x14ac:dyDescent="0.3">
      <c r="A96" s="9" t="s">
        <v>812</v>
      </c>
      <c r="C96" t="s">
        <v>761</v>
      </c>
      <c r="D96" s="10" t="s">
        <v>108</v>
      </c>
      <c r="F96" s="9">
        <v>7</v>
      </c>
      <c r="G9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=INDEX(tab\CFG[Value];MATCH("rng\Role";tab\CFG[Key];0)):INDEX(tab\CFG[Value];MATCH("rng\Role";tab\CFG[Key];0)+COUNTIF(tab\CFG[Key];"rng\Role")-1)</v>
      </c>
      <c r="H96" t="str">
        <f>"=FILTER(tab\CFG[Value];tab\CFG[Key]="""&amp;tab\CFG[[#This Row],[Key]]&amp;""")"</f>
        <v>=FILTER(tab\CFG[Value];tab\CFG[Key]="rng\Role")</v>
      </c>
    </row>
    <row r="97" spans="1:8" x14ac:dyDescent="0.3">
      <c r="A97" s="9" t="s">
        <v>813</v>
      </c>
      <c r="C97" t="s">
        <v>761</v>
      </c>
      <c r="D97" s="10" t="s">
        <v>109</v>
      </c>
      <c r="F97" s="9">
        <v>8</v>
      </c>
      <c r="G9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=INDEX(tab\CFG[Value];MATCH("rng\Role";tab\CFG[Key];0)):INDEX(tab\CFG[Value];MATCH("rng\Role";tab\CFG[Key];0)+COUNTIF(tab\CFG[Key];"rng\Role")-1)</v>
      </c>
      <c r="H97" t="str">
        <f>"=FILTER(tab\CFG[Value];tab\CFG[Key]="""&amp;tab\CFG[[#This Row],[Key]]&amp;""")"</f>
        <v>=FILTER(tab\CFG[Value];tab\CFG[Key]="rng\Role")</v>
      </c>
    </row>
    <row r="98" spans="1:8" x14ac:dyDescent="0.3">
      <c r="A98" s="9" t="s">
        <v>814</v>
      </c>
      <c r="C98" t="s">
        <v>761</v>
      </c>
      <c r="D98" s="10" t="s">
        <v>110</v>
      </c>
      <c r="F98" s="9">
        <v>9</v>
      </c>
      <c r="G9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=INDEX(tab\CFG[Value];MATCH("rng\Role";tab\CFG[Key];0)):INDEX(tab\CFG[Value];MATCH("rng\Role";tab\CFG[Key];0)+COUNTIF(tab\CFG[Key];"rng\Role")-1)</v>
      </c>
      <c r="H98" t="str">
        <f>"=FILTER(tab\CFG[Value];tab\CFG[Key]="""&amp;tab\CFG[[#This Row],[Key]]&amp;""")"</f>
        <v>=FILTER(tab\CFG[Value];tab\CFG[Key]="rng\Role")</v>
      </c>
    </row>
    <row r="99" spans="1:8" x14ac:dyDescent="0.3">
      <c r="A99" s="9" t="s">
        <v>815</v>
      </c>
      <c r="B99" s="9" t="s">
        <v>742</v>
      </c>
      <c r="C99" t="s">
        <v>762</v>
      </c>
      <c r="D99" s="10" t="s">
        <v>535</v>
      </c>
      <c r="F99" s="9">
        <v>1</v>
      </c>
      <c r="G9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=INDEX(tab\CFG[Value];MATCH("rng\Role.Status";tab\CFG[Key];0)):INDEX(tab\CFG[Value];MATCH("rng\Role.Status";tab\CFG[Key];0)+COUNTIF(tab\CFG[Key];"rng\Role.Status")-1)</v>
      </c>
      <c r="H99" t="str">
        <f>"=FILTER(tab\CFG[Value];tab\CFG[Key]="""&amp;tab\CFG[[#This Row],[Key]]&amp;""")"</f>
        <v>=FILTER(tab\CFG[Value];tab\CFG[Key]="rng\Role.Status")</v>
      </c>
    </row>
    <row r="100" spans="1:8" x14ac:dyDescent="0.3">
      <c r="A100" s="9" t="s">
        <v>816</v>
      </c>
      <c r="C100" t="s">
        <v>762</v>
      </c>
      <c r="D100" s="10" t="s">
        <v>536</v>
      </c>
      <c r="F100" s="9">
        <v>2</v>
      </c>
      <c r="G10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=INDEX(tab\CFG[Value];MATCH("rng\Role.Status";tab\CFG[Key];0)):INDEX(tab\CFG[Value];MATCH("rng\Role.Status";tab\CFG[Key];0)+COUNTIF(tab\CFG[Key];"rng\Role.Status")-1)</v>
      </c>
      <c r="H100" t="str">
        <f>"=FILTER(tab\CFG[Value];tab\CFG[Key]="""&amp;tab\CFG[[#This Row],[Key]]&amp;""")"</f>
        <v>=FILTER(tab\CFG[Value];tab\CFG[Key]="rng\Role.Status")</v>
      </c>
    </row>
    <row r="101" spans="1:8" x14ac:dyDescent="0.3">
      <c r="A101" s="9" t="s">
        <v>817</v>
      </c>
      <c r="C101" t="s">
        <v>762</v>
      </c>
      <c r="D101" s="10" t="s">
        <v>537</v>
      </c>
      <c r="F101" s="9">
        <v>3</v>
      </c>
      <c r="G10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=INDEX(tab\CFG[Value];MATCH("rng\Role.Status";tab\CFG[Key];0)):INDEX(tab\CFG[Value];MATCH("rng\Role.Status";tab\CFG[Key];0)+COUNTIF(tab\CFG[Key];"rng\Role.Status")-1)</v>
      </c>
      <c r="H101" t="str">
        <f>"=FILTER(tab\CFG[Value];tab\CFG[Key]="""&amp;tab\CFG[[#This Row],[Key]]&amp;""")"</f>
        <v>=FILTER(tab\CFG[Value];tab\CFG[Key]="rng\Role.Status")</v>
      </c>
    </row>
    <row r="102" spans="1:8" x14ac:dyDescent="0.3">
      <c r="A102" s="9" t="s">
        <v>818</v>
      </c>
      <c r="C102" t="s">
        <v>762</v>
      </c>
      <c r="D102" s="10" t="s">
        <v>13</v>
      </c>
      <c r="F102" s="9">
        <v>4</v>
      </c>
      <c r="G10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=INDEX(tab\CFG[Value];MATCH("rng\Role.Status";tab\CFG[Key];0)):INDEX(tab\CFG[Value];MATCH("rng\Role.Status";tab\CFG[Key];0)+COUNTIF(tab\CFG[Key];"rng\Role.Status")-1)</v>
      </c>
      <c r="H102" t="str">
        <f>"=FILTER(tab\CFG[Value];tab\CFG[Key]="""&amp;tab\CFG[[#This Row],[Key]]&amp;""")"</f>
        <v>=FILTER(tab\CFG[Value];tab\CFG[Key]="rng\Role.Status")</v>
      </c>
    </row>
    <row r="103" spans="1:8" x14ac:dyDescent="0.3">
      <c r="A103" s="9" t="s">
        <v>819</v>
      </c>
      <c r="B103" s="9" t="s">
        <v>755</v>
      </c>
      <c r="C103" t="s">
        <v>735</v>
      </c>
      <c r="D103" s="10" t="s">
        <v>520</v>
      </c>
      <c r="F103" s="9">
        <v>1</v>
      </c>
      <c r="G10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=INDEX(tab\CFG[Value];MATCH("rng\Schedule";tab\CFG[Key];0)):INDEX(tab\CFG[Value];MATCH("rng\Schedule";tab\CFG[Key];0)+COUNTIF(tab\CFG[Key];"rng\Schedule")-1)</v>
      </c>
      <c r="H103" t="str">
        <f>"=FILTER(tab\CFG[Value];tab\CFG[Key]="""&amp;tab\CFG[[#This Row],[Key]]&amp;""")"</f>
        <v>=FILTER(tab\CFG[Value];tab\CFG[Key]="rng\Schedule")</v>
      </c>
    </row>
    <row r="104" spans="1:8" x14ac:dyDescent="0.3">
      <c r="A104" s="9" t="s">
        <v>820</v>
      </c>
      <c r="C104" t="s">
        <v>735</v>
      </c>
      <c r="D104" s="10" t="s">
        <v>521</v>
      </c>
      <c r="F104" s="9">
        <v>2</v>
      </c>
      <c r="G10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=INDEX(tab\CFG[Value];MATCH("rng\Schedule";tab\CFG[Key];0)):INDEX(tab\CFG[Value];MATCH("rng\Schedule";tab\CFG[Key];0)+COUNTIF(tab\CFG[Key];"rng\Schedule")-1)</v>
      </c>
      <c r="H104" t="str">
        <f>"=FILTER(tab\CFG[Value];tab\CFG[Key]="""&amp;tab\CFG[[#This Row],[Key]]&amp;""")"</f>
        <v>=FILTER(tab\CFG[Value];tab\CFG[Key]="rng\Schedule")</v>
      </c>
    </row>
    <row r="105" spans="1:8" x14ac:dyDescent="0.3">
      <c r="A105" s="9" t="s">
        <v>821</v>
      </c>
      <c r="C105" t="s">
        <v>735</v>
      </c>
      <c r="D105" s="10" t="s">
        <v>522</v>
      </c>
      <c r="F105" s="9">
        <v>3</v>
      </c>
      <c r="G10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=INDEX(tab\CFG[Value];MATCH("rng\Schedule";tab\CFG[Key];0)):INDEX(tab\CFG[Value];MATCH("rng\Schedule";tab\CFG[Key];0)+COUNTIF(tab\CFG[Key];"rng\Schedule")-1)</v>
      </c>
      <c r="H105" t="str">
        <f>"=FILTER(tab\CFG[Value];tab\CFG[Key]="""&amp;tab\CFG[[#This Row],[Key]]&amp;""")"</f>
        <v>=FILTER(tab\CFG[Value];tab\CFG[Key]="rng\Schedule")</v>
      </c>
    </row>
    <row r="106" spans="1:8" x14ac:dyDescent="0.3">
      <c r="A106" s="9" t="s">
        <v>822</v>
      </c>
      <c r="C106" t="s">
        <v>735</v>
      </c>
      <c r="D106" s="10" t="s">
        <v>523</v>
      </c>
      <c r="F106" s="9">
        <v>4</v>
      </c>
      <c r="G10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=INDEX(tab\CFG[Value];MATCH("rng\Schedule";tab\CFG[Key];0)):INDEX(tab\CFG[Value];MATCH("rng\Schedule";tab\CFG[Key];0)+COUNTIF(tab\CFG[Key];"rng\Schedule")-1)</v>
      </c>
      <c r="H106" t="str">
        <f>"=FILTER(tab\CFG[Value];tab\CFG[Key]="""&amp;tab\CFG[[#This Row],[Key]]&amp;""")"</f>
        <v>=FILTER(tab\CFG[Value];tab\CFG[Key]="rng\Schedule")</v>
      </c>
    </row>
    <row r="107" spans="1:8" x14ac:dyDescent="0.3">
      <c r="A107" s="9" t="s">
        <v>823</v>
      </c>
      <c r="C107" t="s">
        <v>735</v>
      </c>
      <c r="D107" s="10" t="s">
        <v>524</v>
      </c>
      <c r="F107" s="9">
        <v>5</v>
      </c>
      <c r="G10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=INDEX(tab\CFG[Value];MATCH("rng\Schedule";tab\CFG[Key];0)):INDEX(tab\CFG[Value];MATCH("rng\Schedule";tab\CFG[Key];0)+COUNTIF(tab\CFG[Key];"rng\Schedule")-1)</v>
      </c>
      <c r="H107" t="str">
        <f>"=FILTER(tab\CFG[Value];tab\CFG[Key]="""&amp;tab\CFG[[#This Row],[Key]]&amp;""")"</f>
        <v>=FILTER(tab\CFG[Value];tab\CFG[Key]="rng\Schedule")</v>
      </c>
    </row>
    <row r="108" spans="1:8" x14ac:dyDescent="0.3">
      <c r="A108" s="9" t="s">
        <v>824</v>
      </c>
      <c r="C108" t="s">
        <v>735</v>
      </c>
      <c r="D108" s="10" t="s">
        <v>540</v>
      </c>
      <c r="F108" s="9">
        <v>6</v>
      </c>
      <c r="G10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=INDEX(tab\CFG[Value];MATCH("rng\Schedule";tab\CFG[Key];0)):INDEX(tab\CFG[Value];MATCH("rng\Schedule";tab\CFG[Key];0)+COUNTIF(tab\CFG[Key];"rng\Schedule")-1)</v>
      </c>
      <c r="H108" t="str">
        <f>"=FILTER(tab\CFG[Value];tab\CFG[Key]="""&amp;tab\CFG[[#This Row],[Key]]&amp;""")"</f>
        <v>=FILTER(tab\CFG[Value];tab\CFG[Key]="rng\Schedule")</v>
      </c>
    </row>
    <row r="109" spans="1:8" x14ac:dyDescent="0.3">
      <c r="A109" s="9" t="s">
        <v>825</v>
      </c>
      <c r="C109" t="s">
        <v>735</v>
      </c>
      <c r="D109" s="10" t="s">
        <v>541</v>
      </c>
      <c r="F109" s="9">
        <v>7</v>
      </c>
      <c r="G10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=INDEX(tab\CFG[Value];MATCH("rng\Schedule";tab\CFG[Key];0)):INDEX(tab\CFG[Value];MATCH("rng\Schedule";tab\CFG[Key];0)+COUNTIF(tab\CFG[Key];"rng\Schedule")-1)</v>
      </c>
      <c r="H109" t="str">
        <f>"=FILTER(tab\CFG[Value];tab\CFG[Key]="""&amp;tab\CFG[[#This Row],[Key]]&amp;""")"</f>
        <v>=FILTER(tab\CFG[Value];tab\CFG[Key]="rng\Schedule")</v>
      </c>
    </row>
    <row r="110" spans="1:8" x14ac:dyDescent="0.3">
      <c r="A110" s="9" t="s">
        <v>826</v>
      </c>
      <c r="C110" t="s">
        <v>735</v>
      </c>
      <c r="D110" s="10" t="s">
        <v>543</v>
      </c>
      <c r="F110" s="9">
        <v>8</v>
      </c>
      <c r="G11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=INDEX(tab\CFG[Value];MATCH("rng\Schedule";tab\CFG[Key];0)):INDEX(tab\CFG[Value];MATCH("rng\Schedule";tab\CFG[Key];0)+COUNTIF(tab\CFG[Key];"rng\Schedule")-1)</v>
      </c>
      <c r="H110" t="str">
        <f>"=FILTER(tab\CFG[Value];tab\CFG[Key]="""&amp;tab\CFG[[#This Row],[Key]]&amp;""")"</f>
        <v>=FILTER(tab\CFG[Value];tab\CFG[Key]="rng\Schedule")</v>
      </c>
    </row>
    <row r="111" spans="1:8" x14ac:dyDescent="0.3">
      <c r="A111" s="9" t="s">
        <v>827</v>
      </c>
      <c r="C111" t="s">
        <v>735</v>
      </c>
      <c r="D111" s="10" t="s">
        <v>542</v>
      </c>
      <c r="F111" s="9">
        <v>9</v>
      </c>
      <c r="G11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=INDEX(tab\CFG[Value];MATCH("rng\Schedule";tab\CFG[Key];0)):INDEX(tab\CFG[Value];MATCH("rng\Schedule";tab\CFG[Key];0)+COUNTIF(tab\CFG[Key];"rng\Schedule")-1)</v>
      </c>
      <c r="H111" t="str">
        <f>"=FILTER(tab\CFG[Value];tab\CFG[Key]="""&amp;tab\CFG[[#This Row],[Key]]&amp;""")"</f>
        <v>=FILTER(tab\CFG[Value];tab\CFG[Key]="rng\Schedule")</v>
      </c>
    </row>
    <row r="112" spans="1:8" x14ac:dyDescent="0.3">
      <c r="A112" s="9" t="s">
        <v>828</v>
      </c>
      <c r="B112" s="9" t="s">
        <v>756</v>
      </c>
      <c r="C112" t="s">
        <v>736</v>
      </c>
      <c r="D112" s="10" t="s">
        <v>526</v>
      </c>
      <c r="F112" s="9">
        <v>1</v>
      </c>
      <c r="G11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=INDEX(tab\CFG[Value];MATCH("rng\Schedule.Status";tab\CFG[Key];0)):INDEX(tab\CFG[Value];MATCH("rng\Schedule.Status";tab\CFG[Key];0)+COUNTIF(tab\CFG[Key];"rng\Schedule.Status")-1)</v>
      </c>
      <c r="H112" t="str">
        <f>"=FILTER(tab\CFG[Value];tab\CFG[Key]="""&amp;tab\CFG[[#This Row],[Key]]&amp;""")"</f>
        <v>=FILTER(tab\CFG[Value];tab\CFG[Key]="rng\Schedule.Status")</v>
      </c>
    </row>
    <row r="113" spans="1:8" x14ac:dyDescent="0.3">
      <c r="A113" s="9" t="s">
        <v>829</v>
      </c>
      <c r="C113" t="s">
        <v>736</v>
      </c>
      <c r="D113" s="10" t="s">
        <v>13</v>
      </c>
      <c r="F113" s="9">
        <v>2</v>
      </c>
      <c r="G11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=INDEX(tab\CFG[Value];MATCH("rng\Schedule.Status";tab\CFG[Key];0)):INDEX(tab\CFG[Value];MATCH("rng\Schedule.Status";tab\CFG[Key];0)+COUNTIF(tab\CFG[Key];"rng\Schedule.Status")-1)</v>
      </c>
      <c r="H113" t="str">
        <f>"=FILTER(tab\CFG[Value];tab\CFG[Key]="""&amp;tab\CFG[[#This Row],[Key]]&amp;""")"</f>
        <v>=FILTER(tab\CFG[Value];tab\CFG[Key]="rng\Schedule.Status")</v>
      </c>
    </row>
    <row r="114" spans="1:8" x14ac:dyDescent="0.3">
      <c r="A114" s="9" t="s">
        <v>854</v>
      </c>
      <c r="B114" s="9" t="s">
        <v>995</v>
      </c>
      <c r="C114" t="s">
        <v>740</v>
      </c>
      <c r="D114" s="10" t="s">
        <v>1056</v>
      </c>
      <c r="F114" s="9">
        <v>1</v>
      </c>
      <c r="G11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14" t="str">
        <f>"=FILTER(tab\CFG[Value];tab\CFG[Key]="""&amp;tab\CFG[[#This Row],[Key]]&amp;""")"</f>
        <v>=FILTER(tab\CFG[Value];tab\CFG[Key]="rng\Security.Areas")</v>
      </c>
    </row>
    <row r="115" spans="1:8" x14ac:dyDescent="0.3">
      <c r="A115" s="9" t="s">
        <v>855</v>
      </c>
      <c r="C115" t="s">
        <v>740</v>
      </c>
      <c r="D115" s="10" t="s">
        <v>1066</v>
      </c>
      <c r="F115" s="9">
        <v>2</v>
      </c>
      <c r="G11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15" t="str">
        <f>"=FILTER(tab\CFG[Value];tab\CFG[Key]="""&amp;tab\CFG[[#This Row],[Key]]&amp;""")"</f>
        <v>=FILTER(tab\CFG[Value];tab\CFG[Key]="rng\Security.Areas")</v>
      </c>
    </row>
    <row r="116" spans="1:8" x14ac:dyDescent="0.3">
      <c r="A116" s="9" t="s">
        <v>856</v>
      </c>
      <c r="C116" t="s">
        <v>740</v>
      </c>
      <c r="D116" s="10" t="s">
        <v>1073</v>
      </c>
      <c r="F116" s="9">
        <v>3</v>
      </c>
      <c r="G11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16" t="str">
        <f>"=FILTER(tab\CFG[Value];tab\CFG[Key]="""&amp;tab\CFG[[#This Row],[Key]]&amp;""")"</f>
        <v>=FILTER(tab\CFG[Value];tab\CFG[Key]="rng\Security.Areas")</v>
      </c>
    </row>
    <row r="117" spans="1:8" x14ac:dyDescent="0.3">
      <c r="A117" s="9" t="s">
        <v>857</v>
      </c>
      <c r="C117" t="s">
        <v>740</v>
      </c>
      <c r="D117" s="10" t="s">
        <v>1082</v>
      </c>
      <c r="F117" s="9">
        <v>4</v>
      </c>
      <c r="G11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17" t="str">
        <f>"=FILTER(tab\CFG[Value];tab\CFG[Key]="""&amp;tab\CFG[[#This Row],[Key]]&amp;""")"</f>
        <v>=FILTER(tab\CFG[Value];tab\CFG[Key]="rng\Security.Areas")</v>
      </c>
    </row>
    <row r="118" spans="1:8" x14ac:dyDescent="0.3">
      <c r="A118" s="9" t="s">
        <v>869</v>
      </c>
      <c r="C118" t="s">
        <v>740</v>
      </c>
      <c r="D118" s="10" t="s">
        <v>1087</v>
      </c>
      <c r="F118" s="9">
        <v>5</v>
      </c>
      <c r="G11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18" t="str">
        <f>"=FILTER(tab\CFG[Value];tab\CFG[Key]="""&amp;tab\CFG[[#This Row],[Key]]&amp;""")"</f>
        <v>=FILTER(tab\CFG[Value];tab\CFG[Key]="rng\Security.Areas")</v>
      </c>
    </row>
    <row r="119" spans="1:8" x14ac:dyDescent="0.3">
      <c r="A119" s="9" t="s">
        <v>870</v>
      </c>
      <c r="C119" t="s">
        <v>740</v>
      </c>
      <c r="D119" s="10" t="s">
        <v>1097</v>
      </c>
      <c r="F119" s="9">
        <v>6</v>
      </c>
      <c r="G11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19" t="str">
        <f>"=FILTER(tab\CFG[Value];tab\CFG[Key]="""&amp;tab\CFG[[#This Row],[Key]]&amp;""")"</f>
        <v>=FILTER(tab\CFG[Value];tab\CFG[Key]="rng\Security.Areas")</v>
      </c>
    </row>
    <row r="120" spans="1:8" x14ac:dyDescent="0.3">
      <c r="A120" s="9" t="s">
        <v>871</v>
      </c>
      <c r="C120" t="s">
        <v>740</v>
      </c>
      <c r="D120" s="10" t="s">
        <v>1109</v>
      </c>
      <c r="F120" s="9">
        <v>7</v>
      </c>
      <c r="G12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20" t="str">
        <f>"=FILTER(tab\CFG[Value];tab\CFG[Key]="""&amp;tab\CFG[[#This Row],[Key]]&amp;""")"</f>
        <v>=FILTER(tab\CFG[Value];tab\CFG[Key]="rng\Security.Areas")</v>
      </c>
    </row>
    <row r="121" spans="1:8" x14ac:dyDescent="0.3">
      <c r="A121" s="9" t="s">
        <v>872</v>
      </c>
      <c r="C121" t="s">
        <v>740</v>
      </c>
      <c r="D121" s="10" t="s">
        <v>84</v>
      </c>
      <c r="F121" s="9">
        <v>8</v>
      </c>
      <c r="G12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21" t="str">
        <f>"=FILTER(tab\CFG[Value];tab\CFG[Key]="""&amp;tab\CFG[[#This Row],[Key]]&amp;""")"</f>
        <v>=FILTER(tab\CFG[Value];tab\CFG[Key]="rng\Security.Areas")</v>
      </c>
    </row>
    <row r="122" spans="1:8" x14ac:dyDescent="0.3">
      <c r="A122" s="9" t="s">
        <v>873</v>
      </c>
      <c r="C122" t="s">
        <v>740</v>
      </c>
      <c r="D122" s="10" t="s">
        <v>1131</v>
      </c>
      <c r="F122" s="9">
        <v>9</v>
      </c>
      <c r="G12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22" t="str">
        <f>"=FILTER(tab\CFG[Value];tab\CFG[Key]="""&amp;tab\CFG[[#This Row],[Key]]&amp;""")"</f>
        <v>=FILTER(tab\CFG[Value];tab\CFG[Key]="rng\Security.Areas")</v>
      </c>
    </row>
    <row r="123" spans="1:8" x14ac:dyDescent="0.3">
      <c r="A123" s="9" t="s">
        <v>874</v>
      </c>
      <c r="C123" t="s">
        <v>740</v>
      </c>
      <c r="D123" s="10" t="s">
        <v>1144</v>
      </c>
      <c r="F123" s="9">
        <v>10</v>
      </c>
      <c r="G12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23" t="str">
        <f>"=FILTER(tab\CFG[Value];tab\CFG[Key]="""&amp;tab\CFG[[#This Row],[Key]]&amp;""")"</f>
        <v>=FILTER(tab\CFG[Value];tab\CFG[Key]="rng\Security.Areas")</v>
      </c>
    </row>
    <row r="124" spans="1:8" x14ac:dyDescent="0.3">
      <c r="A124" s="9" t="s">
        <v>875</v>
      </c>
      <c r="C124" t="s">
        <v>740</v>
      </c>
      <c r="D124" s="10" t="s">
        <v>82</v>
      </c>
      <c r="F124" s="9">
        <v>11</v>
      </c>
      <c r="G12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24" t="str">
        <f>"=FILTER(tab\CFG[Value];tab\CFG[Key]="""&amp;tab\CFG[[#This Row],[Key]]&amp;""")"</f>
        <v>=FILTER(tab\CFG[Value];tab\CFG[Key]="rng\Security.Areas")</v>
      </c>
    </row>
    <row r="125" spans="1:8" x14ac:dyDescent="0.3">
      <c r="A125" s="9" t="s">
        <v>876</v>
      </c>
      <c r="C125" t="s">
        <v>740</v>
      </c>
      <c r="D125" s="10" t="s">
        <v>438</v>
      </c>
      <c r="F125" s="9">
        <v>12</v>
      </c>
      <c r="G12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25" t="str">
        <f>"=FILTER(tab\CFG[Value];tab\CFG[Key]="""&amp;tab\CFG[[#This Row],[Key]]&amp;""")"</f>
        <v>=FILTER(tab\CFG[Value];tab\CFG[Key]="rng\Security.Areas")</v>
      </c>
    </row>
    <row r="126" spans="1:8" x14ac:dyDescent="0.3">
      <c r="A126" s="9" t="s">
        <v>877</v>
      </c>
      <c r="C126" t="s">
        <v>740</v>
      </c>
      <c r="D126" s="10" t="s">
        <v>98</v>
      </c>
      <c r="F126" s="9">
        <v>13</v>
      </c>
      <c r="G12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26" t="str">
        <f>"=FILTER(tab\CFG[Value];tab\CFG[Key]="""&amp;tab\CFG[[#This Row],[Key]]&amp;""")"</f>
        <v>=FILTER(tab\CFG[Value];tab\CFG[Key]="rng\Security.Areas")</v>
      </c>
    </row>
    <row r="127" spans="1:8" x14ac:dyDescent="0.3">
      <c r="A127" s="9" t="s">
        <v>883</v>
      </c>
      <c r="C127" t="s">
        <v>740</v>
      </c>
      <c r="D127" s="10" t="s">
        <v>1190</v>
      </c>
      <c r="F127" s="9">
        <v>14</v>
      </c>
      <c r="G12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27" t="str">
        <f>"=FILTER(tab\CFG[Value];tab\CFG[Key]="""&amp;tab\CFG[[#This Row],[Key]]&amp;""")"</f>
        <v>=FILTER(tab\CFG[Value];tab\CFG[Key]="rng\Security.Areas")</v>
      </c>
    </row>
    <row r="128" spans="1:8" x14ac:dyDescent="0.3">
      <c r="A128" s="9" t="s">
        <v>884</v>
      </c>
      <c r="C128" t="s">
        <v>740</v>
      </c>
      <c r="D128" s="10" t="s">
        <v>1206</v>
      </c>
      <c r="F128" s="9">
        <v>15</v>
      </c>
      <c r="G12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28" t="str">
        <f>"=FILTER(tab\CFG[Value];tab\CFG[Key]="""&amp;tab\CFG[[#This Row],[Key]]&amp;""")"</f>
        <v>=FILTER(tab\CFG[Value];tab\CFG[Key]="rng\Security.Areas")</v>
      </c>
    </row>
    <row r="129" spans="1:8" x14ac:dyDescent="0.3">
      <c r="A129" s="9" t="s">
        <v>885</v>
      </c>
      <c r="C129" t="s">
        <v>740</v>
      </c>
      <c r="D129" s="10" t="s">
        <v>1219</v>
      </c>
      <c r="F129" s="9">
        <v>16</v>
      </c>
      <c r="G12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29" t="str">
        <f>"=FILTER(tab\CFG[Value];tab\CFG[Key]="""&amp;tab\CFG[[#This Row],[Key]]&amp;""")"</f>
        <v>=FILTER(tab\CFG[Value];tab\CFG[Key]="rng\Security.Areas")</v>
      </c>
    </row>
    <row r="130" spans="1:8" x14ac:dyDescent="0.3">
      <c r="A130" s="9" t="s">
        <v>892</v>
      </c>
      <c r="C130" t="s">
        <v>740</v>
      </c>
      <c r="D130" s="10" t="s">
        <v>1232</v>
      </c>
      <c r="F130" s="9">
        <v>17</v>
      </c>
      <c r="G13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=INDEX(tab\CFG[Value];MATCH("rng\Security.Areas";tab\CFG[Key];0)):INDEX(tab\CFG[Value];MATCH("rng\Security.Areas";tab\CFG[Key];0)+COUNTIF(tab\CFG[Key];"rng\Security.Areas")-1)</v>
      </c>
      <c r="H130" t="str">
        <f>"=FILTER(tab\CFG[Value];tab\CFG[Key]="""&amp;tab\CFG[[#This Row],[Key]]&amp;""")"</f>
        <v>=FILTER(tab\CFG[Value];tab\CFG[Key]="rng\Security.Areas")</v>
      </c>
    </row>
    <row r="131" spans="1:8" x14ac:dyDescent="0.3">
      <c r="A131" s="9" t="s">
        <v>830</v>
      </c>
      <c r="B131" s="9" t="s">
        <v>758</v>
      </c>
      <c r="C131" t="s">
        <v>738</v>
      </c>
      <c r="D131" s="10" t="str">
        <f>_xlfn.UNICHAR(10006)</f>
        <v>✖</v>
      </c>
      <c r="F131" s="9">
        <v>1</v>
      </c>
      <c r="G13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=INDEX(tab\CFG[Value];MATCH("rng\Symbol.OkNo";tab\CFG[Key];0)):INDEX(tab\CFG[Value];MATCH("rng\Symbol.OkNo";tab\CFG[Key];0)+COUNTIF(tab\CFG[Key];"rng\Symbol.OkNo")-1)</v>
      </c>
      <c r="H131" t="str">
        <f>"=FILTER(tab\CFG[Value];tab\CFG[Key]="""&amp;tab\CFG[[#This Row],[Key]]&amp;""")"</f>
        <v>=FILTER(tab\CFG[Value];tab\CFG[Key]="rng\Symbol.OkNo")</v>
      </c>
    </row>
    <row r="132" spans="1:8" x14ac:dyDescent="0.3">
      <c r="A132" s="9" t="s">
        <v>831</v>
      </c>
      <c r="C132" t="s">
        <v>738</v>
      </c>
      <c r="D132" s="10" t="str">
        <f>_xlfn.UNICHAR(10004)</f>
        <v>✔</v>
      </c>
      <c r="F132" s="9">
        <v>2</v>
      </c>
      <c r="G13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=INDEX(tab\CFG[Value];MATCH("rng\Symbol.OkNo";tab\CFG[Key];0)):INDEX(tab\CFG[Value];MATCH("rng\Symbol.OkNo";tab\CFG[Key];0)+COUNTIF(tab\CFG[Key];"rng\Symbol.OkNo")-1)</v>
      </c>
      <c r="H132" t="str">
        <f>"=FILTER(tab\CFG[Value];tab\CFG[Key]="""&amp;tab\CFG[[#This Row],[Key]]&amp;""")"</f>
        <v>=FILTER(tab\CFG[Value];tab\CFG[Key]="rng\Symbol.OkNo")</v>
      </c>
    </row>
    <row r="133" spans="1:8" x14ac:dyDescent="0.3">
      <c r="A133" s="9" t="s">
        <v>832</v>
      </c>
      <c r="B133" s="9" t="s">
        <v>759</v>
      </c>
      <c r="C133" t="s">
        <v>739</v>
      </c>
      <c r="D133" s="10" t="str">
        <f>_xlfn.UNICHAR(9744)</f>
        <v>☐</v>
      </c>
      <c r="F133" s="9">
        <v>1</v>
      </c>
      <c r="G133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=INDEX(tab\CFG[Value];MATCH("rng\Symbol.OkNoE";tab\CFG[Key];0)):INDEX(tab\CFG[Value];MATCH("rng\Symbol.OkNoE";tab\CFG[Key];0)+COUNTIF(tab\CFG[Key];"rng\Symbol.OkNoE")-1)</v>
      </c>
      <c r="H133" t="str">
        <f>"=FILTER(tab\CFG[Value];tab\CFG[Key]="""&amp;tab\CFG[[#This Row],[Key]]&amp;""")"</f>
        <v>=FILTER(tab\CFG[Value];tab\CFG[Key]="rng\Symbol.OkNoE")</v>
      </c>
    </row>
    <row r="134" spans="1:8" x14ac:dyDescent="0.3">
      <c r="A134" s="9" t="s">
        <v>833</v>
      </c>
      <c r="C134" t="s">
        <v>739</v>
      </c>
      <c r="D134" s="10" t="str">
        <f>_xlfn.UNICHAR(9746)</f>
        <v>☒</v>
      </c>
      <c r="F134" s="9">
        <v>2</v>
      </c>
      <c r="G134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=INDEX(tab\CFG[Value];MATCH("rng\Symbol.OkNoE";tab\CFG[Key];0)):INDEX(tab\CFG[Value];MATCH("rng\Symbol.OkNoE";tab\CFG[Key];0)+COUNTIF(tab\CFG[Key];"rng\Symbol.OkNoE")-1)</v>
      </c>
      <c r="H134" t="str">
        <f>"=FILTER(tab\CFG[Value];tab\CFG[Key]="""&amp;tab\CFG[[#This Row],[Key]]&amp;""")"</f>
        <v>=FILTER(tab\CFG[Value];tab\CFG[Key]="rng\Symbol.OkNoE")</v>
      </c>
    </row>
    <row r="135" spans="1:8" x14ac:dyDescent="0.3">
      <c r="A135" s="9" t="s">
        <v>834</v>
      </c>
      <c r="C135" t="s">
        <v>739</v>
      </c>
      <c r="D135" s="10" t="str">
        <f>_xlfn.UNICHAR(9745)</f>
        <v>☑</v>
      </c>
      <c r="F135" s="9">
        <v>3</v>
      </c>
      <c r="G135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=INDEX(tab\CFG[Value];MATCH("rng\Symbol.OkNoE";tab\CFG[Key];0)):INDEX(tab\CFG[Value];MATCH("rng\Symbol.OkNoE";tab\CFG[Key];0)+COUNTIF(tab\CFG[Key];"rng\Symbol.OkNoE")-1)</v>
      </c>
      <c r="H135" t="str">
        <f>"=FILTER(tab\CFG[Value];tab\CFG[Key]="""&amp;tab\CFG[[#This Row],[Key]]&amp;""")"</f>
        <v>=FILTER(tab\CFG[Value];tab\CFG[Key]="rng\Symbol.OkNoE")</v>
      </c>
    </row>
    <row r="136" spans="1:8" x14ac:dyDescent="0.3">
      <c r="A136" s="9" t="s">
        <v>993</v>
      </c>
      <c r="B136" s="9" t="s">
        <v>1279</v>
      </c>
      <c r="C136" t="s">
        <v>1278</v>
      </c>
      <c r="D136" s="10">
        <v>2007</v>
      </c>
      <c r="F136" s="9">
        <v>1</v>
      </c>
      <c r="G136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=INDEX(tab\CFG[Value];MATCH("var\Application.Compatibility";tab\CFG[Key];0)):INDEX(tab\CFG[Value];MATCH("var\Application.Compatibility";tab\CFG[Key];0)+COUNTIF(tab\CFG[Key];"var\Application.Compatibility")-1)</v>
      </c>
      <c r="H136" t="str">
        <f>"=FILTER(tab\CFG[Value];tab\CFG[Key]="""&amp;tab\CFG[[#This Row],[Key]]&amp;""")"</f>
        <v>=FILTER(tab\CFG[Value];tab\CFG[Key]="var\Application.Compatibility")</v>
      </c>
    </row>
    <row r="137" spans="1:8" x14ac:dyDescent="0.3">
      <c r="A137" s="9" t="s">
        <v>835</v>
      </c>
      <c r="B137" s="9" t="s">
        <v>769</v>
      </c>
      <c r="C137" t="s">
        <v>766</v>
      </c>
      <c r="D137" s="57">
        <v>46275</v>
      </c>
      <c r="F137" s="9">
        <v>1</v>
      </c>
      <c r="G137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=INDEX(tab\CFG[Value];MATCH("var\Application.Date";tab\CFG[Key];0)):INDEX(tab\CFG[Value];MATCH("var\Application.Date";tab\CFG[Key];0)+COUNTIF(tab\CFG[Key];"var\Application.Date")-1)</v>
      </c>
      <c r="H137" t="str">
        <f>"=FILTER(tab\CFG[Value];tab\CFG[Key]="""&amp;tab\CFG[[#This Row],[Key]]&amp;""")"</f>
        <v>=FILTER(tab\CFG[Value];tab\CFG[Key]="var\Application.Date")</v>
      </c>
    </row>
    <row r="138" spans="1:8" x14ac:dyDescent="0.3">
      <c r="A138" s="9" t="s">
        <v>836</v>
      </c>
      <c r="B138" s="9" t="s">
        <v>770</v>
      </c>
      <c r="C138" t="s">
        <v>767</v>
      </c>
      <c r="D138" s="10" t="s">
        <v>771</v>
      </c>
      <c r="F138" s="9">
        <v>1</v>
      </c>
      <c r="G138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=INDEX(tab\CFG[Value];MATCH("var\Application.Name";tab\CFG[Key];0)):INDEX(tab\CFG[Value];MATCH("var\Application.Name";tab\CFG[Key];0)+COUNTIF(tab\CFG[Key];"var\Application.Name")-1)</v>
      </c>
      <c r="H138" t="str">
        <f>"=FILTER(tab\CFG[Value];tab\CFG[Key]="""&amp;tab\CFG[[#This Row],[Key]]&amp;""")"</f>
        <v>=FILTER(tab\CFG[Value];tab\CFG[Key]="var\Application.Name")</v>
      </c>
    </row>
    <row r="139" spans="1:8" x14ac:dyDescent="0.3">
      <c r="A139" s="9" t="s">
        <v>837</v>
      </c>
      <c r="B139" s="9" t="s">
        <v>768</v>
      </c>
      <c r="C139" t="s">
        <v>765</v>
      </c>
      <c r="D139" s="74" t="s">
        <v>51</v>
      </c>
      <c r="F139" s="9">
        <v>1</v>
      </c>
      <c r="G139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=INDEX(tab\CFG[Value];MATCH("var\Application.Version";tab\CFG[Key];0)):INDEX(tab\CFG[Value];MATCH("var\Application.Version";tab\CFG[Key];0)+COUNTIF(tab\CFG[Key];"var\Application.Version")-1)</v>
      </c>
      <c r="H139" t="str">
        <f>"=FILTER(tab\CFG[Value];tab\CFG[Key]="""&amp;tab\CFG[[#This Row],[Key]]&amp;""")"</f>
        <v>=FILTER(tab\CFG[Value];tab\CFG[Key]="var\Application.Version")</v>
      </c>
    </row>
    <row r="140" spans="1:8" x14ac:dyDescent="0.3">
      <c r="A140" s="9" t="s">
        <v>838</v>
      </c>
      <c r="B140" s="9" t="s">
        <v>893</v>
      </c>
      <c r="C140" t="s">
        <v>891</v>
      </c>
      <c r="D140" s="74" t="s">
        <v>894</v>
      </c>
      <c r="F140" s="9">
        <v>1</v>
      </c>
      <c r="G140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=INDEX(tab\CFG[Value];MATCH("var\Symbol.Causes";tab\CFG[Key];0)):INDEX(tab\CFG[Value];MATCH("var\Symbol.Causes";tab\CFG[Key];0)+COUNTIF(tab\CFG[Key];"var\Symbol.Causes")-1)</v>
      </c>
      <c r="H140" t="str">
        <f>"=FILTER(tab\CFG[Value];tab\CFG[Key]="""&amp;tab\CFG[[#This Row],[Key]]&amp;""")"</f>
        <v>=FILTER(tab\CFG[Value];tab\CFG[Key]="var\Symbol.Causes")</v>
      </c>
    </row>
    <row r="141" spans="1:8" x14ac:dyDescent="0.3">
      <c r="A141" s="9" t="s">
        <v>839</v>
      </c>
      <c r="B141" s="9" t="s">
        <v>747</v>
      </c>
      <c r="C141" t="s">
        <v>728</v>
      </c>
      <c r="D141" s="10" t="s">
        <v>373</v>
      </c>
      <c r="F141" s="9">
        <v>1</v>
      </c>
      <c r="G141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=INDEX(tab\CFG[Value];MATCH("var\Symbol.NoData";tab\CFG[Key];0)):INDEX(tab\CFG[Value];MATCH("var\Symbol.NoData";tab\CFG[Key];0)+COUNTIF(tab\CFG[Key];"var\Symbol.NoData")-1)</v>
      </c>
      <c r="H141" t="str">
        <f>"=FILTER(tab\CFG[Value];tab\CFG[Key]="""&amp;tab\CFG[[#This Row],[Key]]&amp;""")"</f>
        <v>=FILTER(tab\CFG[Value];tab\CFG[Key]="var\Symbol.NoData")</v>
      </c>
    </row>
    <row r="142" spans="1:8" x14ac:dyDescent="0.3">
      <c r="A142" s="9" t="s">
        <v>853</v>
      </c>
      <c r="B142" s="9" t="s">
        <v>749</v>
      </c>
      <c r="C142" t="s">
        <v>730</v>
      </c>
      <c r="D142" s="10" t="s">
        <v>13</v>
      </c>
      <c r="F142" s="9">
        <v>1</v>
      </c>
      <c r="G142" t="str">
        <f>"=INDEX(tab\CFG[Value];MATCH(""" &amp;tab\CFG[[#This Row],[Key]]&amp;""";tab\CFG[Key];0)):INDEX(tab\CFG[Value];MATCH("""&amp;tab\CFG[[#This Row],[Key]]&amp;""";tab\CFG[Key];0)+COUNTIF(tab\CFG[Key];"""&amp;tab\CFG[[#This Row],[Key]]&amp;""")-1)"</f>
        <v>=INDEX(tab\CFG[Value];MATCH("var\Symbol.NotApplicable";tab\CFG[Key];0)):INDEX(tab\CFG[Value];MATCH("var\Symbol.NotApplicable";tab\CFG[Key];0)+COUNTIF(tab\CFG[Key];"var\Symbol.NotApplicable")-1)</v>
      </c>
      <c r="H142" t="str">
        <f>"=FILTER(tab\CFG[Value];tab\CFG[Key]="""&amp;tab\CFG[[#This Row],[Key]]&amp;""")"</f>
        <v>=FILTER(tab\CFG[Value];tab\CFG[Key]="var\Symbol.NotApplicable")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E6EE-C04F-4CF6-B962-92B262E6F756}">
  <sheetPr>
    <tabColor theme="1"/>
  </sheetPr>
  <dimension ref="A1:C44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57.88671875" defaultRowHeight="14.4" x14ac:dyDescent="0.3"/>
  <cols>
    <col min="1" max="1" width="10.5546875" style="9" customWidth="1"/>
    <col min="2" max="2" width="72.33203125" bestFit="1" customWidth="1"/>
    <col min="3" max="3" width="91.6640625" bestFit="1" customWidth="1"/>
  </cols>
  <sheetData>
    <row r="1" spans="1:3" x14ac:dyDescent="0.3">
      <c r="A1"/>
    </row>
    <row r="2" spans="1:3" ht="31.2" x14ac:dyDescent="0.6">
      <c r="A2"/>
      <c r="B2" s="21" t="s">
        <v>377</v>
      </c>
    </row>
    <row r="3" spans="1:3" ht="18" customHeight="1" x14ac:dyDescent="0.6">
      <c r="A3"/>
      <c r="B3" s="21"/>
    </row>
    <row r="4" spans="1:3" x14ac:dyDescent="0.3">
      <c r="A4" s="49"/>
      <c r="B4" s="49"/>
      <c r="C4" s="49"/>
    </row>
    <row r="5" spans="1:3" x14ac:dyDescent="0.3">
      <c r="A5" s="14">
        <v>1</v>
      </c>
      <c r="B5" s="14">
        <v>2</v>
      </c>
      <c r="C5" s="14">
        <v>3</v>
      </c>
    </row>
    <row r="6" spans="1:3" ht="10.199999999999999" customHeight="1" x14ac:dyDescent="0.3">
      <c r="A6" s="3"/>
      <c r="B6" s="42"/>
      <c r="C6" s="3"/>
    </row>
    <row r="7" spans="1:3" ht="20.399999999999999" customHeight="1" x14ac:dyDescent="0.3">
      <c r="A7" s="6" t="s">
        <v>195</v>
      </c>
      <c r="B7" s="6" t="s">
        <v>3</v>
      </c>
      <c r="C7" s="6" t="s">
        <v>290</v>
      </c>
    </row>
    <row r="8" spans="1:3" x14ac:dyDescent="0.3">
      <c r="A8" s="5" t="s">
        <v>340</v>
      </c>
      <c r="B8" s="1" t="s">
        <v>198</v>
      </c>
      <c r="C8" s="1" t="s">
        <v>199</v>
      </c>
    </row>
    <row r="9" spans="1:3" x14ac:dyDescent="0.3">
      <c r="A9" s="5" t="s">
        <v>341</v>
      </c>
      <c r="B9" s="1" t="s">
        <v>201</v>
      </c>
      <c r="C9" s="1" t="s">
        <v>202</v>
      </c>
    </row>
    <row r="10" spans="1:3" x14ac:dyDescent="0.3">
      <c r="A10" s="5" t="s">
        <v>342</v>
      </c>
      <c r="B10" s="1" t="s">
        <v>204</v>
      </c>
      <c r="C10" s="1" t="s">
        <v>205</v>
      </c>
    </row>
    <row r="11" spans="1:3" x14ac:dyDescent="0.3">
      <c r="A11" s="5" t="s">
        <v>343</v>
      </c>
      <c r="B11" s="1" t="s">
        <v>207</v>
      </c>
      <c r="C11" s="1" t="s">
        <v>208</v>
      </c>
    </row>
    <row r="12" spans="1:3" x14ac:dyDescent="0.3">
      <c r="A12" s="5" t="s">
        <v>344</v>
      </c>
      <c r="B12" s="1" t="s">
        <v>210</v>
      </c>
      <c r="C12" s="1" t="s">
        <v>211</v>
      </c>
    </row>
    <row r="13" spans="1:3" x14ac:dyDescent="0.3">
      <c r="A13" s="5" t="s">
        <v>345</v>
      </c>
      <c r="B13" s="1" t="s">
        <v>213</v>
      </c>
      <c r="C13" s="1" t="s">
        <v>214</v>
      </c>
    </row>
    <row r="14" spans="1:3" x14ac:dyDescent="0.3">
      <c r="A14" s="5" t="s">
        <v>346</v>
      </c>
      <c r="B14" s="1" t="s">
        <v>215</v>
      </c>
      <c r="C14" s="1" t="s">
        <v>216</v>
      </c>
    </row>
    <row r="15" spans="1:3" x14ac:dyDescent="0.3">
      <c r="A15" s="5" t="s">
        <v>347</v>
      </c>
      <c r="B15" s="1" t="s">
        <v>217</v>
      </c>
      <c r="C15" s="1" t="s">
        <v>218</v>
      </c>
    </row>
    <row r="16" spans="1:3" x14ac:dyDescent="0.3">
      <c r="A16" s="5" t="s">
        <v>348</v>
      </c>
      <c r="B16" s="1" t="s">
        <v>219</v>
      </c>
      <c r="C16" s="1" t="s">
        <v>220</v>
      </c>
    </row>
    <row r="17" spans="1:3" x14ac:dyDescent="0.3">
      <c r="A17" s="5" t="s">
        <v>349</v>
      </c>
      <c r="B17" s="1" t="s">
        <v>221</v>
      </c>
      <c r="C17" s="1" t="s">
        <v>222</v>
      </c>
    </row>
    <row r="18" spans="1:3" x14ac:dyDescent="0.3">
      <c r="A18" s="5" t="s">
        <v>350</v>
      </c>
      <c r="B18" s="1" t="s">
        <v>223</v>
      </c>
      <c r="C18" s="1" t="s">
        <v>224</v>
      </c>
    </row>
    <row r="19" spans="1:3" x14ac:dyDescent="0.3">
      <c r="A19" s="5" t="s">
        <v>351</v>
      </c>
      <c r="B19" s="1" t="s">
        <v>225</v>
      </c>
      <c r="C19" s="1" t="s">
        <v>226</v>
      </c>
    </row>
    <row r="20" spans="1:3" x14ac:dyDescent="0.3">
      <c r="A20" s="5" t="s">
        <v>352</v>
      </c>
      <c r="B20" s="1" t="s">
        <v>227</v>
      </c>
      <c r="C20" s="1" t="s">
        <v>228</v>
      </c>
    </row>
    <row r="21" spans="1:3" x14ac:dyDescent="0.3">
      <c r="A21" s="5" t="s">
        <v>353</v>
      </c>
      <c r="B21" s="1" t="s">
        <v>229</v>
      </c>
      <c r="C21" s="1" t="s">
        <v>232</v>
      </c>
    </row>
    <row r="22" spans="1:3" x14ac:dyDescent="0.3">
      <c r="A22" s="5" t="s">
        <v>354</v>
      </c>
      <c r="B22" s="1" t="s">
        <v>230</v>
      </c>
      <c r="C22" s="1" t="s">
        <v>231</v>
      </c>
    </row>
    <row r="30" spans="1:3" x14ac:dyDescent="0.3">
      <c r="A30" s="6"/>
      <c r="B30" s="6"/>
      <c r="C30" s="6"/>
    </row>
    <row r="31" spans="1:3" x14ac:dyDescent="0.3">
      <c r="A31" s="5"/>
      <c r="B31" s="1"/>
      <c r="C31" s="1"/>
    </row>
    <row r="32" spans="1:3" x14ac:dyDescent="0.3">
      <c r="A32" s="5"/>
      <c r="B32" s="1"/>
      <c r="C32" s="1"/>
    </row>
    <row r="33" spans="1:3" x14ac:dyDescent="0.3">
      <c r="A33" s="5"/>
      <c r="B33" s="1"/>
      <c r="C33" s="1"/>
    </row>
    <row r="34" spans="1:3" x14ac:dyDescent="0.3">
      <c r="A34" s="5"/>
      <c r="B34" s="1"/>
      <c r="C34" s="1"/>
    </row>
    <row r="35" spans="1:3" x14ac:dyDescent="0.3">
      <c r="A35" s="5"/>
      <c r="B35" s="1"/>
      <c r="C35" s="1"/>
    </row>
    <row r="36" spans="1:3" x14ac:dyDescent="0.3">
      <c r="A36" s="5"/>
      <c r="B36" s="1"/>
      <c r="C36" s="1"/>
    </row>
    <row r="37" spans="1:3" x14ac:dyDescent="0.3">
      <c r="A37" s="5"/>
      <c r="B37" s="1"/>
      <c r="C37" s="1"/>
    </row>
    <row r="38" spans="1:3" x14ac:dyDescent="0.3">
      <c r="A38" s="5"/>
      <c r="B38" s="1"/>
      <c r="C38" s="1"/>
    </row>
    <row r="39" spans="1:3" x14ac:dyDescent="0.3">
      <c r="A39" s="5"/>
      <c r="B39" s="1"/>
      <c r="C39" s="1"/>
    </row>
    <row r="40" spans="1:3" x14ac:dyDescent="0.3">
      <c r="A40" s="5"/>
      <c r="B40" s="1"/>
      <c r="C40" s="1"/>
    </row>
    <row r="41" spans="1:3" x14ac:dyDescent="0.3">
      <c r="A41" s="5"/>
      <c r="B41" s="1"/>
      <c r="C41" s="1"/>
    </row>
    <row r="42" spans="1:3" x14ac:dyDescent="0.3">
      <c r="A42" s="5"/>
      <c r="B42" s="1"/>
      <c r="C42" s="1"/>
    </row>
    <row r="43" spans="1:3" x14ac:dyDescent="0.3">
      <c r="A43" s="5"/>
      <c r="B43" s="1"/>
      <c r="C43" s="1"/>
    </row>
    <row r="44" spans="1:3" x14ac:dyDescent="0.3">
      <c r="A44" s="5"/>
      <c r="B44" s="1"/>
      <c r="C44" s="1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4B65-239E-42E7-98FB-D69940A2CE37}">
  <sheetPr>
    <tabColor theme="1"/>
  </sheetPr>
  <dimension ref="A1:G42"/>
  <sheetViews>
    <sheetView showGridLines="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57.88671875" defaultRowHeight="14.4" x14ac:dyDescent="0.3"/>
  <cols>
    <col min="1" max="1" width="10.5546875" style="9" customWidth="1"/>
    <col min="2" max="2" width="22.44140625" style="9" customWidth="1"/>
    <col min="3" max="3" width="42.5546875" customWidth="1"/>
    <col min="5" max="5" width="42.5546875" customWidth="1"/>
    <col min="6" max="6" width="40.88671875" hidden="1" customWidth="1"/>
    <col min="7" max="7" width="45" hidden="1" customWidth="1"/>
    <col min="8" max="8" width="36.5546875" customWidth="1"/>
    <col min="9" max="9" width="31" customWidth="1"/>
  </cols>
  <sheetData>
    <row r="1" spans="1:7" x14ac:dyDescent="0.3">
      <c r="A1"/>
    </row>
    <row r="2" spans="1:7" ht="31.2" x14ac:dyDescent="0.6">
      <c r="A2"/>
      <c r="B2" s="26" t="s">
        <v>433</v>
      </c>
    </row>
    <row r="3" spans="1:7" ht="18" customHeight="1" x14ac:dyDescent="0.6">
      <c r="A3"/>
      <c r="B3" s="56"/>
      <c r="C3" s="21"/>
    </row>
    <row r="4" spans="1:7" ht="27" customHeight="1" x14ac:dyDescent="0.3">
      <c r="A4" s="49"/>
      <c r="B4" s="49"/>
      <c r="C4" s="49"/>
      <c r="D4" s="49"/>
      <c r="E4" s="49"/>
      <c r="F4" s="51" t="s">
        <v>492</v>
      </c>
      <c r="G4" s="51" t="s">
        <v>492</v>
      </c>
    </row>
    <row r="5" spans="1:7" x14ac:dyDescent="0.3">
      <c r="A5" s="14">
        <v>1</v>
      </c>
      <c r="B5" s="14">
        <v>2</v>
      </c>
      <c r="C5" s="14">
        <v>3</v>
      </c>
      <c r="D5" s="14">
        <v>4</v>
      </c>
      <c r="E5" s="14">
        <v>5</v>
      </c>
      <c r="F5" s="14">
        <v>5</v>
      </c>
      <c r="G5" s="14">
        <v>6</v>
      </c>
    </row>
    <row r="6" spans="1:7" ht="10.199999999999999" customHeight="1" x14ac:dyDescent="0.3">
      <c r="A6" s="3"/>
      <c r="B6" s="41"/>
      <c r="C6" s="42"/>
      <c r="D6" s="3"/>
      <c r="E6" s="3"/>
      <c r="F6" s="3"/>
      <c r="G6" s="3"/>
    </row>
    <row r="7" spans="1:7" ht="20.399999999999999" customHeight="1" x14ac:dyDescent="0.3">
      <c r="A7" s="6" t="s">
        <v>195</v>
      </c>
      <c r="B7" s="6" t="s">
        <v>56</v>
      </c>
      <c r="C7" s="6" t="s">
        <v>664</v>
      </c>
      <c r="D7" s="6" t="s">
        <v>290</v>
      </c>
      <c r="E7" s="6" t="s">
        <v>388</v>
      </c>
      <c r="F7" s="6" t="s">
        <v>490</v>
      </c>
      <c r="G7" s="6" t="s">
        <v>491</v>
      </c>
    </row>
    <row r="8" spans="1:7" x14ac:dyDescent="0.3">
      <c r="A8" s="5" t="s">
        <v>464</v>
      </c>
      <c r="B8" s="5" t="s">
        <v>666</v>
      </c>
      <c r="C8" s="1" t="s">
        <v>458</v>
      </c>
      <c r="D8" s="1" t="s">
        <v>459</v>
      </c>
      <c r="E8" s="1"/>
      <c r="F8" s="1" t="str" cm="1">
        <f t="array" ref="F8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>Błędne przetwarzanie/przekazanie</v>
      </c>
      <c r="G8" s="1" t="str" cm="1">
        <f t="array" ref="G8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Archiwizacja</v>
      </c>
    </row>
    <row r="9" spans="1:7" x14ac:dyDescent="0.3">
      <c r="A9" s="5" t="s">
        <v>465</v>
      </c>
      <c r="B9" s="5" t="s">
        <v>666</v>
      </c>
      <c r="C9" s="1" t="s">
        <v>460</v>
      </c>
      <c r="D9" s="1" t="s">
        <v>461</v>
      </c>
      <c r="E9" s="1"/>
      <c r="F9" s="1" t="str" cm="1">
        <f t="array" ref="F9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>Cyberatak</v>
      </c>
      <c r="G9" s="1" t="str" cm="1">
        <f t="array" ref="G9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Backup</v>
      </c>
    </row>
    <row r="10" spans="1:7" x14ac:dyDescent="0.3">
      <c r="A10" s="5" t="s">
        <v>466</v>
      </c>
      <c r="B10" s="5" t="s">
        <v>666</v>
      </c>
      <c r="C10" s="1" t="s">
        <v>462</v>
      </c>
      <c r="D10" s="1" t="s">
        <v>408</v>
      </c>
      <c r="E10" s="1" t="s">
        <v>409</v>
      </c>
      <c r="F10" s="1" t="str" cm="1">
        <f t="array" ref="F10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>Inne naruszenie</v>
      </c>
      <c r="G10" s="1" t="str" cm="1">
        <f t="array" ref="G10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Udostępnienie danych</v>
      </c>
    </row>
    <row r="11" spans="1:7" ht="17.399999999999999" customHeight="1" x14ac:dyDescent="0.3">
      <c r="A11" s="5" t="s">
        <v>467</v>
      </c>
      <c r="B11" s="5" t="s">
        <v>666</v>
      </c>
      <c r="C11" s="1" t="s">
        <v>450</v>
      </c>
      <c r="D11" s="1" t="s">
        <v>451</v>
      </c>
      <c r="E11" s="1"/>
      <c r="F11" s="1" t="str" cm="1">
        <f t="array" ref="F11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>Kradzież danych/nośnika</v>
      </c>
      <c r="G11" s="1" t="str" cm="1">
        <f t="array" ref="G11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Usuwanie danych</v>
      </c>
    </row>
    <row r="12" spans="1:7" x14ac:dyDescent="0.3">
      <c r="A12" s="5" t="s">
        <v>468</v>
      </c>
      <c r="B12" s="5" t="s">
        <v>666</v>
      </c>
      <c r="C12" s="1" t="s">
        <v>454</v>
      </c>
      <c r="D12" s="1" t="s">
        <v>455</v>
      </c>
      <c r="E12" s="1"/>
      <c r="F12" s="1" t="str" cm="1">
        <f t="array" ref="F12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>Nieuprawniona modyfikacja</v>
      </c>
      <c r="G12" s="1" t="str" cm="1">
        <f t="array" ref="G12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Żądanie osoby</v>
      </c>
    </row>
    <row r="13" spans="1:7" x14ac:dyDescent="0.3">
      <c r="A13" s="5" t="s">
        <v>469</v>
      </c>
      <c r="B13" s="5" t="s">
        <v>666</v>
      </c>
      <c r="C13" s="1" t="s">
        <v>446</v>
      </c>
      <c r="D13" s="1" t="s">
        <v>447</v>
      </c>
      <c r="E13" s="1"/>
      <c r="F13" s="1" t="str" cm="1">
        <f t="array" ref="F13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>Nieuprawnione ujawnienie / udostępnienie</v>
      </c>
      <c r="G13" s="1" t="str" cm="1">
        <f t="array" ref="G13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Aktualizacja dokumentacji</v>
      </c>
    </row>
    <row r="14" spans="1:7" x14ac:dyDescent="0.3">
      <c r="A14" s="5" t="s">
        <v>470</v>
      </c>
      <c r="B14" s="5" t="s">
        <v>666</v>
      </c>
      <c r="C14" s="1" t="s">
        <v>444</v>
      </c>
      <c r="D14" s="1" t="s">
        <v>445</v>
      </c>
      <c r="E14" s="1"/>
      <c r="F14" s="1" t="str" cm="1">
        <f t="array" ref="F14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>Nieuprawniony dostęp</v>
      </c>
      <c r="G14" s="1" t="str" cm="1">
        <f t="array" ref="G14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Generowanie z szablonu</v>
      </c>
    </row>
    <row r="15" spans="1:7" x14ac:dyDescent="0.3">
      <c r="A15" s="5" t="s">
        <v>471</v>
      </c>
      <c r="B15" s="5" t="s">
        <v>666</v>
      </c>
      <c r="C15" s="1" t="s">
        <v>448</v>
      </c>
      <c r="D15" s="1" t="s">
        <v>449</v>
      </c>
      <c r="E15" s="1"/>
      <c r="F15" s="1" t="str" cm="1">
        <f t="array" ref="F15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>Utrata danych/nośnika</v>
      </c>
      <c r="G15" s="1" t="str" cm="1">
        <f t="array" ref="G15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Incydent bezpieczeństwa</v>
      </c>
    </row>
    <row r="16" spans="1:7" x14ac:dyDescent="0.3">
      <c r="A16" s="5" t="s">
        <v>472</v>
      </c>
      <c r="B16" s="5" t="s">
        <v>666</v>
      </c>
      <c r="C16" s="1" t="s">
        <v>456</v>
      </c>
      <c r="D16" s="1" t="s">
        <v>457</v>
      </c>
      <c r="E16" s="1"/>
      <c r="F16" s="1" t="str" cm="1">
        <f t="array" ref="F16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>Utrata dostępności</v>
      </c>
      <c r="G16" s="1" t="str" cm="1">
        <f t="array" ref="G16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Aktualizacja zabezpieczeń</v>
      </c>
    </row>
    <row r="17" spans="1:7" x14ac:dyDescent="0.3">
      <c r="A17" s="5" t="s">
        <v>473</v>
      </c>
      <c r="B17" s="5" t="s">
        <v>666</v>
      </c>
      <c r="C17" s="1" t="s">
        <v>452</v>
      </c>
      <c r="D17" s="1" t="s">
        <v>453</v>
      </c>
      <c r="E17" s="1"/>
      <c r="F17" s="1" t="str" cm="1">
        <f t="array" ref="F17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>Zniszczenie/usunięcie danych</v>
      </c>
      <c r="G17" s="1" t="str" cm="1">
        <f t="array" ref="G17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Działanie korygujące / zapobiegawcze</v>
      </c>
    </row>
    <row r="18" spans="1:7" x14ac:dyDescent="0.3">
      <c r="A18" s="5" t="s">
        <v>474</v>
      </c>
      <c r="B18" s="5" t="s">
        <v>435</v>
      </c>
      <c r="C18" s="1" t="s">
        <v>439</v>
      </c>
      <c r="D18" s="1"/>
      <c r="E18" s="1"/>
      <c r="F18" s="1" t="str" cm="1">
        <f t="array" ref="F18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18" s="1" t="str" cm="1">
        <f t="array" ref="G18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Inne zdarzenie</v>
      </c>
    </row>
    <row r="19" spans="1:7" x14ac:dyDescent="0.3">
      <c r="A19" s="5" t="s">
        <v>475</v>
      </c>
      <c r="B19" s="5" t="s">
        <v>435</v>
      </c>
      <c r="C19" s="1" t="s">
        <v>438</v>
      </c>
      <c r="D19" s="1"/>
      <c r="E19" s="1"/>
      <c r="F19" s="1" t="str" cm="1">
        <f t="array" ref="F19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19" s="1" t="str" cm="1">
        <f t="array" ref="G19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Kontrola / audyt</v>
      </c>
    </row>
    <row r="20" spans="1:7" ht="28.8" x14ac:dyDescent="0.3">
      <c r="A20" s="5" t="s">
        <v>476</v>
      </c>
      <c r="B20" s="5" t="s">
        <v>435</v>
      </c>
      <c r="C20" s="1" t="s">
        <v>413</v>
      </c>
      <c r="D20" s="1" t="s">
        <v>414</v>
      </c>
      <c r="E20" s="1" t="s">
        <v>415</v>
      </c>
      <c r="F20" s="1" t="str" cm="1">
        <f t="array" ref="F20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20" s="1" t="str" cm="1">
        <f t="array" ref="G20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Przegląd</v>
      </c>
    </row>
    <row r="21" spans="1:7" ht="15" customHeight="1" x14ac:dyDescent="0.3">
      <c r="A21" s="5" t="s">
        <v>477</v>
      </c>
      <c r="B21" s="5" t="s">
        <v>435</v>
      </c>
      <c r="C21" s="1" t="s">
        <v>443</v>
      </c>
      <c r="D21" s="1" t="s">
        <v>489</v>
      </c>
      <c r="E21" s="1"/>
      <c r="F21" s="1" t="str" cm="1">
        <f t="array" ref="F21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21" s="1" t="str" cm="1">
        <f t="array" ref="G21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Szkolenie / upoważnienie</v>
      </c>
    </row>
    <row r="22" spans="1:7" x14ac:dyDescent="0.3">
      <c r="A22" s="5" t="s">
        <v>478</v>
      </c>
      <c r="B22" s="5" t="s">
        <v>435</v>
      </c>
      <c r="C22" s="1" t="s">
        <v>410</v>
      </c>
      <c r="D22" s="1" t="s">
        <v>411</v>
      </c>
      <c r="E22" s="1" t="s">
        <v>412</v>
      </c>
      <c r="F22" s="1" t="str" cm="1">
        <f t="array" ref="F22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22" s="1" t="str" cm="1">
        <f t="array" ref="G22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>Zmiana organizacyjna / techniczna</v>
      </c>
    </row>
    <row r="23" spans="1:7" x14ac:dyDescent="0.3">
      <c r="A23" s="5" t="s">
        <v>479</v>
      </c>
      <c r="B23" s="5" t="s">
        <v>434</v>
      </c>
      <c r="C23" s="1" t="s">
        <v>441</v>
      </c>
      <c r="D23" s="1"/>
      <c r="E23" s="1"/>
      <c r="F23" s="1" t="str" cm="1">
        <f t="array" ref="F23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23" s="1" t="str" cm="1">
        <f t="array" ref="G23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/>
      </c>
    </row>
    <row r="24" spans="1:7" x14ac:dyDescent="0.3">
      <c r="A24" s="5" t="s">
        <v>480</v>
      </c>
      <c r="B24" s="5" t="s">
        <v>434</v>
      </c>
      <c r="C24" s="1" t="s">
        <v>440</v>
      </c>
      <c r="D24" s="1"/>
      <c r="E24" s="1"/>
      <c r="F24" s="1" t="str" cm="1">
        <f t="array" ref="F24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24" s="1" t="str" cm="1">
        <f t="array" ref="G24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/>
      </c>
    </row>
    <row r="25" spans="1:7" ht="28.8" x14ac:dyDescent="0.3">
      <c r="A25" s="5" t="s">
        <v>481</v>
      </c>
      <c r="B25" s="5" t="s">
        <v>437</v>
      </c>
      <c r="C25" s="1" t="s">
        <v>405</v>
      </c>
      <c r="D25" s="1" t="s">
        <v>406</v>
      </c>
      <c r="E25" s="1" t="s">
        <v>407</v>
      </c>
      <c r="F25" s="1" t="str" cm="1">
        <f t="array" ref="F25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25" s="1" t="str" cm="1">
        <f t="array" ref="G25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/>
      </c>
    </row>
    <row r="26" spans="1:7" x14ac:dyDescent="0.3">
      <c r="A26" s="5" t="s">
        <v>482</v>
      </c>
      <c r="B26" s="5" t="s">
        <v>437</v>
      </c>
      <c r="C26" s="1" t="s">
        <v>442</v>
      </c>
      <c r="D26" s="1"/>
      <c r="E26" s="1"/>
      <c r="F26" s="1" t="str" cm="1">
        <f t="array" ref="F26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26" s="1" t="str" cm="1">
        <f t="array" ref="G26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/>
      </c>
    </row>
    <row r="27" spans="1:7" x14ac:dyDescent="0.3">
      <c r="A27" s="5" t="s">
        <v>483</v>
      </c>
      <c r="B27" s="5" t="s">
        <v>437</v>
      </c>
      <c r="C27" s="1" t="s">
        <v>419</v>
      </c>
      <c r="D27" s="1" t="s">
        <v>420</v>
      </c>
      <c r="E27" s="1" t="s">
        <v>421</v>
      </c>
      <c r="F27" s="1" t="str" cm="1">
        <f t="array" ref="F27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27" s="1" t="str" cm="1">
        <f t="array" ref="G27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/>
      </c>
    </row>
    <row r="28" spans="1:7" x14ac:dyDescent="0.3">
      <c r="A28" s="5" t="s">
        <v>484</v>
      </c>
      <c r="B28" s="5" t="s">
        <v>437</v>
      </c>
      <c r="C28" s="1" t="s">
        <v>463</v>
      </c>
      <c r="D28" s="1" t="s">
        <v>431</v>
      </c>
      <c r="E28" s="1" t="s">
        <v>432</v>
      </c>
      <c r="F28" s="1" t="str" cm="1">
        <f t="array" ref="F28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28" s="1" t="str" cm="1">
        <f t="array" ref="G28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/>
      </c>
    </row>
    <row r="29" spans="1:7" x14ac:dyDescent="0.3">
      <c r="A29" s="5" t="s">
        <v>485</v>
      </c>
      <c r="B29" s="5" t="s">
        <v>437</v>
      </c>
      <c r="C29" s="1" t="s">
        <v>416</v>
      </c>
      <c r="D29" s="1" t="s">
        <v>417</v>
      </c>
      <c r="E29" s="1" t="s">
        <v>418</v>
      </c>
      <c r="F29" s="1" t="str" cm="1">
        <f t="array" ref="F29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29" s="1" t="str" cm="1">
        <f t="array" ref="G29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/>
      </c>
    </row>
    <row r="30" spans="1:7" x14ac:dyDescent="0.3">
      <c r="A30" s="5" t="s">
        <v>486</v>
      </c>
      <c r="B30" s="5" t="s">
        <v>437</v>
      </c>
      <c r="C30" s="1" t="s">
        <v>422</v>
      </c>
      <c r="D30" s="1" t="s">
        <v>423</v>
      </c>
      <c r="E30" s="1" t="s">
        <v>424</v>
      </c>
      <c r="F30" s="1" t="str" cm="1">
        <f t="array" ref="F30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30" s="1" t="str" cm="1">
        <f t="array" ref="G30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/>
      </c>
    </row>
    <row r="31" spans="1:7" x14ac:dyDescent="0.3">
      <c r="A31" s="5" t="s">
        <v>487</v>
      </c>
      <c r="B31" s="5" t="s">
        <v>437</v>
      </c>
      <c r="C31" s="1" t="s">
        <v>428</v>
      </c>
      <c r="D31" s="1" t="s">
        <v>429</v>
      </c>
      <c r="E31" s="1" t="s">
        <v>430</v>
      </c>
      <c r="F31" s="1" t="str" cm="1">
        <f t="array" ref="F31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31" s="1" t="str" cm="1">
        <f t="array" ref="G31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/>
      </c>
    </row>
    <row r="32" spans="1:7" x14ac:dyDescent="0.3">
      <c r="A32" s="5" t="s">
        <v>488</v>
      </c>
      <c r="B32" s="5" t="s">
        <v>437</v>
      </c>
      <c r="C32" s="1" t="s">
        <v>425</v>
      </c>
      <c r="D32" s="1" t="s">
        <v>426</v>
      </c>
      <c r="E32" s="1" t="s">
        <v>427</v>
      </c>
      <c r="F32" s="1" t="str" cm="1">
        <f t="array" ref="F32">IFERROR(
    INDEX(
        tab\Dict.EVNT[Zdarzenie],
        _xlfn.AGGREGATE(
            15,
            6,
            (ROW(tab\Dict.EVNT[Zdarzenie])-ROW(INDEX(tab\Dict.EVNT[Zdarzenie],1))+1)/(tab\Dict.EVNT[Obszar]="Naruszenia"),
            ROW()-ROW(tab\DOCS[#Headers])
        )
    ),
    ""
)</f>
        <v/>
      </c>
      <c r="G32" s="1" t="str" cm="1">
        <f t="array" ref="G32">IFERROR(
    INDEX(
        tab\Dict.EVNT[Zdarzenie],
        _xlfn.AGGREGATE(
            15,
            6,
            (ROW(tab\Dict.EVNT[Zdarzenie])-ROW(INDEX(tab\Dict.EVNT[Zdarzenie],1))+1)/(tab\Dict.EVNT[Obszar]&lt;&gt;"Naruszenia"),
            ROW()-ROW(tab\DOCS[#Headers])
        )
    ),
    ""
)</f>
        <v/>
      </c>
    </row>
    <row r="33" spans="1:6" x14ac:dyDescent="0.3">
      <c r="A33" s="5"/>
      <c r="C33" s="1"/>
      <c r="E33" s="1"/>
      <c r="F33" s="1"/>
    </row>
    <row r="34" spans="1:6" x14ac:dyDescent="0.3">
      <c r="A34" s="5"/>
      <c r="C34" s="1"/>
      <c r="E34" s="1"/>
      <c r="F34" s="1"/>
    </row>
    <row r="35" spans="1:6" x14ac:dyDescent="0.3">
      <c r="A35" s="5"/>
      <c r="C35" s="1"/>
      <c r="E35" s="1"/>
      <c r="F35" s="1"/>
    </row>
    <row r="36" spans="1:6" x14ac:dyDescent="0.3">
      <c r="A36" s="5"/>
      <c r="C36" s="1"/>
      <c r="E36" s="1"/>
      <c r="F36" s="1"/>
    </row>
    <row r="37" spans="1:6" x14ac:dyDescent="0.3">
      <c r="A37" s="5"/>
      <c r="C37" s="1"/>
      <c r="E37" s="1"/>
      <c r="F37" s="1"/>
    </row>
    <row r="38" spans="1:6" x14ac:dyDescent="0.3">
      <c r="A38" s="5"/>
      <c r="C38" s="1"/>
      <c r="E38" s="1"/>
      <c r="F38" s="1"/>
    </row>
    <row r="39" spans="1:6" x14ac:dyDescent="0.3">
      <c r="A39" s="5"/>
      <c r="C39" s="1"/>
      <c r="E39" s="1"/>
      <c r="F39" s="1"/>
    </row>
    <row r="40" spans="1:6" x14ac:dyDescent="0.3">
      <c r="A40" s="5"/>
      <c r="C40" s="1"/>
      <c r="E40" s="1"/>
      <c r="F40" s="1"/>
    </row>
    <row r="41" spans="1:6" x14ac:dyDescent="0.3">
      <c r="A41" s="5"/>
      <c r="C41" s="1"/>
      <c r="E41" s="1"/>
      <c r="F41" s="1"/>
    </row>
    <row r="42" spans="1:6" x14ac:dyDescent="0.3">
      <c r="A42" s="5"/>
      <c r="C42" s="1"/>
      <c r="E42" s="1"/>
      <c r="F42" s="1"/>
    </row>
  </sheetData>
  <phoneticPr fontId="4" type="noConversion"/>
  <dataValidations count="1">
    <dataValidation type="list" allowBlank="1" showInputMessage="1" showErrorMessage="1" sqref="B8:B32" xr:uid="{FF4D172E-4EB9-47F0-8BA7-4FE51F123E83}">
      <formula1>rng\Area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514B-1830-4DAA-AA19-DEA9E6C43268}">
  <dimension ref="A2:H49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22" sqref="D22"/>
    </sheetView>
  </sheetViews>
  <sheetFormatPr defaultColWidth="36.44140625" defaultRowHeight="14.4" x14ac:dyDescent="0.3"/>
  <cols>
    <col min="1" max="1" width="11.21875" style="10" customWidth="1"/>
    <col min="2" max="2" width="36.44140625" style="9"/>
    <col min="3" max="3" width="47" customWidth="1"/>
    <col min="4" max="4" width="52.21875" bestFit="1" customWidth="1"/>
    <col min="5" max="5" width="9.6640625" customWidth="1"/>
    <col min="6" max="6" width="13" bestFit="1" customWidth="1"/>
    <col min="7" max="7" width="12.44140625" bestFit="1" customWidth="1"/>
  </cols>
  <sheetData>
    <row r="2" spans="1:8" ht="31.2" x14ac:dyDescent="0.6">
      <c r="B2" s="26" t="s">
        <v>621</v>
      </c>
    </row>
    <row r="3" spans="1:8" ht="13.8" customHeight="1" x14ac:dyDescent="0.6">
      <c r="B3" s="56"/>
    </row>
    <row r="4" spans="1:8" ht="24.6" customHeight="1" x14ac:dyDescent="0.3">
      <c r="A4" s="49"/>
      <c r="B4" s="49"/>
      <c r="C4" s="49"/>
      <c r="D4" s="49"/>
      <c r="E4" s="49"/>
      <c r="F4" s="49"/>
      <c r="G4" s="49"/>
      <c r="H4" s="27"/>
    </row>
    <row r="5" spans="1:8" x14ac:dyDescent="0.3">
      <c r="A5" s="14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  <c r="G5" s="14">
        <v>7</v>
      </c>
    </row>
    <row r="6" spans="1:8" ht="9" customHeight="1" x14ac:dyDescent="0.3">
      <c r="A6" s="14"/>
      <c r="B6" s="41"/>
      <c r="C6" s="42"/>
      <c r="D6" s="3"/>
      <c r="E6" s="42"/>
      <c r="F6" s="42"/>
      <c r="G6" s="42"/>
    </row>
    <row r="7" spans="1:8" ht="35.4" customHeight="1" x14ac:dyDescent="0.3">
      <c r="A7" s="6" t="s">
        <v>195</v>
      </c>
      <c r="B7" s="5" t="s">
        <v>56</v>
      </c>
      <c r="C7" s="6" t="s">
        <v>387</v>
      </c>
      <c r="D7" s="6" t="s">
        <v>664</v>
      </c>
      <c r="E7" s="6" t="s">
        <v>493</v>
      </c>
      <c r="F7" s="6" t="s">
        <v>494</v>
      </c>
      <c r="G7" s="6" t="s">
        <v>98</v>
      </c>
    </row>
    <row r="8" spans="1:8" x14ac:dyDescent="0.3">
      <c r="A8" s="5" t="s">
        <v>622</v>
      </c>
      <c r="B8" s="5" t="s">
        <v>57</v>
      </c>
      <c r="C8" s="1" t="s">
        <v>58</v>
      </c>
      <c r="D8" s="1" t="s">
        <v>59</v>
      </c>
      <c r="E8" s="5" t="s">
        <v>609</v>
      </c>
      <c r="F8" s="5" t="s">
        <v>609</v>
      </c>
      <c r="G8" s="5"/>
    </row>
    <row r="9" spans="1:8" x14ac:dyDescent="0.3">
      <c r="A9" s="5" t="s">
        <v>623</v>
      </c>
      <c r="B9" s="5" t="s">
        <v>57</v>
      </c>
      <c r="C9" s="1" t="s">
        <v>60</v>
      </c>
      <c r="D9" s="1" t="s">
        <v>667</v>
      </c>
      <c r="E9" s="5" t="s">
        <v>609</v>
      </c>
      <c r="F9" s="5" t="s">
        <v>609</v>
      </c>
      <c r="G9" s="5"/>
    </row>
    <row r="10" spans="1:8" x14ac:dyDescent="0.3">
      <c r="A10" s="5" t="s">
        <v>624</v>
      </c>
      <c r="B10" s="5" t="s">
        <v>57</v>
      </c>
      <c r="C10" s="1" t="s">
        <v>61</v>
      </c>
      <c r="D10" s="1" t="s">
        <v>62</v>
      </c>
      <c r="E10" s="5" t="s">
        <v>609</v>
      </c>
      <c r="F10" s="5" t="s">
        <v>609</v>
      </c>
      <c r="G10" s="5"/>
    </row>
    <row r="11" spans="1:8" x14ac:dyDescent="0.3">
      <c r="A11" s="5" t="s">
        <v>625</v>
      </c>
      <c r="B11" s="5" t="s">
        <v>63</v>
      </c>
      <c r="C11" s="1" t="s">
        <v>64</v>
      </c>
      <c r="D11" s="1" t="s">
        <v>668</v>
      </c>
      <c r="E11" s="5" t="s">
        <v>609</v>
      </c>
      <c r="F11" s="5" t="s">
        <v>609</v>
      </c>
      <c r="G11" s="5" t="s">
        <v>609</v>
      </c>
    </row>
    <row r="12" spans="1:8" x14ac:dyDescent="0.3">
      <c r="A12" s="5" t="s">
        <v>626</v>
      </c>
      <c r="B12" s="5" t="s">
        <v>63</v>
      </c>
      <c r="C12" s="1" t="s">
        <v>65</v>
      </c>
      <c r="D12" s="1" t="s">
        <v>669</v>
      </c>
      <c r="E12" s="5"/>
      <c r="F12" s="5"/>
      <c r="G12" s="5" t="s">
        <v>609</v>
      </c>
    </row>
    <row r="13" spans="1:8" x14ac:dyDescent="0.3">
      <c r="A13" s="5" t="s">
        <v>627</v>
      </c>
      <c r="B13" s="5" t="s">
        <v>63</v>
      </c>
      <c r="C13" s="1" t="s">
        <v>66</v>
      </c>
      <c r="D13" s="1" t="s">
        <v>67</v>
      </c>
      <c r="E13" s="5" t="s">
        <v>609</v>
      </c>
      <c r="F13" s="5" t="s">
        <v>609</v>
      </c>
      <c r="G13" s="5" t="s">
        <v>609</v>
      </c>
    </row>
    <row r="14" spans="1:8" x14ac:dyDescent="0.3">
      <c r="A14" s="5" t="s">
        <v>628</v>
      </c>
      <c r="B14" s="5" t="s">
        <v>63</v>
      </c>
      <c r="C14" s="1" t="s">
        <v>68</v>
      </c>
      <c r="D14" s="1" t="s">
        <v>670</v>
      </c>
      <c r="E14" s="5" t="s">
        <v>609</v>
      </c>
      <c r="F14" s="5"/>
      <c r="G14" s="5" t="s">
        <v>609</v>
      </c>
    </row>
    <row r="15" spans="1:8" x14ac:dyDescent="0.3">
      <c r="A15" s="5" t="s">
        <v>629</v>
      </c>
      <c r="B15" s="5" t="s">
        <v>665</v>
      </c>
      <c r="C15" s="1" t="s">
        <v>59</v>
      </c>
      <c r="D15" s="1" t="s">
        <v>671</v>
      </c>
      <c r="E15" s="5" t="s">
        <v>609</v>
      </c>
      <c r="F15" s="5" t="s">
        <v>609</v>
      </c>
      <c r="G15" s="5"/>
    </row>
    <row r="16" spans="1:8" x14ac:dyDescent="0.3">
      <c r="A16" s="5" t="s">
        <v>630</v>
      </c>
      <c r="B16" s="5" t="s">
        <v>665</v>
      </c>
      <c r="C16" s="1" t="s">
        <v>69</v>
      </c>
      <c r="D16" s="1" t="s">
        <v>672</v>
      </c>
      <c r="E16" s="5"/>
      <c r="F16" s="5" t="s">
        <v>609</v>
      </c>
      <c r="G16" s="5" t="s">
        <v>609</v>
      </c>
    </row>
    <row r="17" spans="1:7" x14ac:dyDescent="0.3">
      <c r="A17" s="5" t="s">
        <v>631</v>
      </c>
      <c r="B17" s="5" t="s">
        <v>665</v>
      </c>
      <c r="C17" s="1" t="s">
        <v>70</v>
      </c>
      <c r="D17" s="1" t="s">
        <v>673</v>
      </c>
      <c r="E17" s="5"/>
      <c r="F17" s="5"/>
      <c r="G17" s="5" t="s">
        <v>609</v>
      </c>
    </row>
    <row r="18" spans="1:7" x14ac:dyDescent="0.3">
      <c r="A18" s="5" t="s">
        <v>632</v>
      </c>
      <c r="B18" s="5" t="s">
        <v>665</v>
      </c>
      <c r="C18" s="1" t="s">
        <v>674</v>
      </c>
      <c r="D18" s="1" t="s">
        <v>62</v>
      </c>
      <c r="E18" s="5" t="s">
        <v>609</v>
      </c>
      <c r="F18" s="5" t="s">
        <v>609</v>
      </c>
      <c r="G18" s="5"/>
    </row>
    <row r="19" spans="1:7" x14ac:dyDescent="0.3">
      <c r="A19" s="5" t="s">
        <v>633</v>
      </c>
      <c r="B19" s="5" t="s">
        <v>665</v>
      </c>
      <c r="C19" s="1" t="s">
        <v>71</v>
      </c>
      <c r="D19" s="1" t="s">
        <v>675</v>
      </c>
      <c r="E19" s="5" t="s">
        <v>609</v>
      </c>
      <c r="F19" s="5"/>
      <c r="G19" s="5"/>
    </row>
    <row r="20" spans="1:7" x14ac:dyDescent="0.3">
      <c r="A20" s="5" t="s">
        <v>634</v>
      </c>
      <c r="B20" s="5" t="s">
        <v>72</v>
      </c>
      <c r="C20" s="1" t="s">
        <v>73</v>
      </c>
      <c r="D20" s="1" t="s">
        <v>676</v>
      </c>
      <c r="E20" s="5" t="s">
        <v>609</v>
      </c>
      <c r="F20" s="5" t="s">
        <v>609</v>
      </c>
      <c r="G20" s="5"/>
    </row>
    <row r="21" spans="1:7" x14ac:dyDescent="0.3">
      <c r="A21" s="5" t="s">
        <v>635</v>
      </c>
      <c r="B21" s="5" t="s">
        <v>72</v>
      </c>
      <c r="C21" s="1" t="s">
        <v>677</v>
      </c>
      <c r="D21" s="1" t="s">
        <v>678</v>
      </c>
      <c r="E21" s="5" t="s">
        <v>609</v>
      </c>
      <c r="F21" s="5" t="s">
        <v>609</v>
      </c>
      <c r="G21" s="5"/>
    </row>
    <row r="22" spans="1:7" x14ac:dyDescent="0.3">
      <c r="A22" s="5" t="s">
        <v>636</v>
      </c>
      <c r="B22" s="5" t="s">
        <v>72</v>
      </c>
      <c r="C22" s="1" t="s">
        <v>74</v>
      </c>
      <c r="D22" s="1" t="s">
        <v>679</v>
      </c>
      <c r="E22" s="5"/>
      <c r="F22" s="5"/>
      <c r="G22" s="5" t="s">
        <v>609</v>
      </c>
    </row>
    <row r="23" spans="1:7" x14ac:dyDescent="0.3">
      <c r="A23" s="5" t="s">
        <v>637</v>
      </c>
      <c r="B23" s="5" t="s">
        <v>75</v>
      </c>
      <c r="C23" s="1" t="s">
        <v>76</v>
      </c>
      <c r="D23" s="1" t="s">
        <v>680</v>
      </c>
      <c r="E23" s="5" t="s">
        <v>609</v>
      </c>
      <c r="F23" s="5"/>
      <c r="G23" s="5"/>
    </row>
    <row r="24" spans="1:7" x14ac:dyDescent="0.3">
      <c r="A24" s="5" t="s">
        <v>638</v>
      </c>
      <c r="B24" s="5" t="s">
        <v>75</v>
      </c>
      <c r="C24" s="1" t="s">
        <v>77</v>
      </c>
      <c r="D24" s="1" t="s">
        <v>681</v>
      </c>
      <c r="E24" s="5" t="s">
        <v>609</v>
      </c>
      <c r="F24" s="5"/>
      <c r="G24" s="5"/>
    </row>
    <row r="25" spans="1:7" x14ac:dyDescent="0.3">
      <c r="A25" s="5" t="s">
        <v>639</v>
      </c>
      <c r="B25" s="5" t="s">
        <v>75</v>
      </c>
      <c r="C25" s="1" t="s">
        <v>78</v>
      </c>
      <c r="D25" s="1" t="s">
        <v>682</v>
      </c>
      <c r="E25" s="5" t="s">
        <v>609</v>
      </c>
      <c r="F25" s="5" t="s">
        <v>609</v>
      </c>
      <c r="G25" s="5"/>
    </row>
    <row r="26" spans="1:7" x14ac:dyDescent="0.3">
      <c r="A26" s="5" t="s">
        <v>640</v>
      </c>
      <c r="B26" s="5" t="s">
        <v>79</v>
      </c>
      <c r="C26" s="1" t="s">
        <v>683</v>
      </c>
      <c r="D26" s="1" t="s">
        <v>62</v>
      </c>
      <c r="E26" s="5" t="s">
        <v>609</v>
      </c>
      <c r="F26" s="5"/>
      <c r="G26" s="5"/>
    </row>
    <row r="27" spans="1:7" x14ac:dyDescent="0.3">
      <c r="A27" s="5" t="s">
        <v>641</v>
      </c>
      <c r="B27" s="5" t="s">
        <v>79</v>
      </c>
      <c r="C27" s="1" t="s">
        <v>80</v>
      </c>
      <c r="D27" s="1" t="s">
        <v>684</v>
      </c>
      <c r="E27" s="5" t="s">
        <v>609</v>
      </c>
      <c r="F27" s="5"/>
      <c r="G27" s="5"/>
    </row>
    <row r="28" spans="1:7" x14ac:dyDescent="0.3">
      <c r="A28" s="5" t="s">
        <v>642</v>
      </c>
      <c r="B28" s="5" t="s">
        <v>79</v>
      </c>
      <c r="C28" s="1" t="s">
        <v>81</v>
      </c>
      <c r="D28" s="1" t="s">
        <v>685</v>
      </c>
      <c r="E28" s="5" t="s">
        <v>609</v>
      </c>
      <c r="F28" s="5" t="s">
        <v>609</v>
      </c>
      <c r="G28" s="5"/>
    </row>
    <row r="29" spans="1:7" x14ac:dyDescent="0.3">
      <c r="A29" s="5" t="s">
        <v>643</v>
      </c>
      <c r="B29" s="5" t="s">
        <v>82</v>
      </c>
      <c r="C29" s="1" t="s">
        <v>686</v>
      </c>
      <c r="D29" s="1" t="s">
        <v>687</v>
      </c>
      <c r="E29" s="5" t="s">
        <v>609</v>
      </c>
      <c r="F29" s="5"/>
      <c r="G29" s="5" t="s">
        <v>609</v>
      </c>
    </row>
    <row r="30" spans="1:7" x14ac:dyDescent="0.3">
      <c r="A30" s="5" t="s">
        <v>644</v>
      </c>
      <c r="B30" s="5" t="s">
        <v>82</v>
      </c>
      <c r="C30" s="1" t="s">
        <v>83</v>
      </c>
      <c r="D30" s="1" t="s">
        <v>688</v>
      </c>
      <c r="E30" s="5"/>
      <c r="F30" s="5"/>
      <c r="G30" s="5" t="s">
        <v>609</v>
      </c>
    </row>
    <row r="31" spans="1:7" x14ac:dyDescent="0.3">
      <c r="A31" s="5" t="s">
        <v>645</v>
      </c>
      <c r="B31" s="5" t="s">
        <v>84</v>
      </c>
      <c r="C31" s="1" t="s">
        <v>85</v>
      </c>
      <c r="D31" s="1" t="s">
        <v>689</v>
      </c>
      <c r="E31" s="5" t="s">
        <v>609</v>
      </c>
      <c r="F31" s="5" t="s">
        <v>609</v>
      </c>
      <c r="G31" s="5"/>
    </row>
    <row r="32" spans="1:7" x14ac:dyDescent="0.3">
      <c r="A32" s="5" t="s">
        <v>646</v>
      </c>
      <c r="B32" s="5" t="s">
        <v>84</v>
      </c>
      <c r="C32" s="1" t="s">
        <v>86</v>
      </c>
      <c r="D32" s="1" t="s">
        <v>690</v>
      </c>
      <c r="E32" s="5" t="s">
        <v>609</v>
      </c>
      <c r="F32" s="5" t="s">
        <v>609</v>
      </c>
      <c r="G32" s="5"/>
    </row>
    <row r="33" spans="1:7" x14ac:dyDescent="0.3">
      <c r="A33" s="5" t="s">
        <v>647</v>
      </c>
      <c r="B33" s="5" t="s">
        <v>84</v>
      </c>
      <c r="C33" s="1" t="s">
        <v>87</v>
      </c>
      <c r="D33" s="1" t="s">
        <v>691</v>
      </c>
      <c r="E33" s="5" t="s">
        <v>609</v>
      </c>
      <c r="F33" s="5"/>
      <c r="G33" s="5"/>
    </row>
    <row r="34" spans="1:7" x14ac:dyDescent="0.3">
      <c r="A34" s="5" t="s">
        <v>648</v>
      </c>
      <c r="B34" s="5" t="s">
        <v>88</v>
      </c>
      <c r="C34" s="1" t="s">
        <v>692</v>
      </c>
      <c r="D34" s="1" t="s">
        <v>693</v>
      </c>
      <c r="E34" s="5" t="s">
        <v>609</v>
      </c>
      <c r="F34" s="5" t="s">
        <v>609</v>
      </c>
      <c r="G34" s="5"/>
    </row>
    <row r="35" spans="1:7" x14ac:dyDescent="0.3">
      <c r="A35" s="5" t="s">
        <v>649</v>
      </c>
      <c r="B35" s="5" t="s">
        <v>88</v>
      </c>
      <c r="C35" s="1" t="s">
        <v>89</v>
      </c>
      <c r="D35" s="1" t="s">
        <v>694</v>
      </c>
      <c r="E35" s="5" t="s">
        <v>609</v>
      </c>
      <c r="F35" s="5" t="s">
        <v>609</v>
      </c>
      <c r="G35" s="5"/>
    </row>
    <row r="36" spans="1:7" x14ac:dyDescent="0.3">
      <c r="A36" s="5" t="s">
        <v>650</v>
      </c>
      <c r="B36" s="5" t="s">
        <v>88</v>
      </c>
      <c r="C36" s="1" t="s">
        <v>90</v>
      </c>
      <c r="D36" s="1" t="s">
        <v>695</v>
      </c>
      <c r="E36" s="5"/>
      <c r="F36" s="5"/>
      <c r="G36" s="5" t="s">
        <v>609</v>
      </c>
    </row>
    <row r="37" spans="1:7" x14ac:dyDescent="0.3">
      <c r="A37" s="5" t="s">
        <v>651</v>
      </c>
      <c r="B37" s="5" t="s">
        <v>91</v>
      </c>
      <c r="C37" s="1" t="s">
        <v>92</v>
      </c>
      <c r="D37" s="1" t="s">
        <v>696</v>
      </c>
      <c r="E37" s="5"/>
      <c r="F37" s="5"/>
      <c r="G37" s="5" t="s">
        <v>609</v>
      </c>
    </row>
    <row r="38" spans="1:7" x14ac:dyDescent="0.3">
      <c r="A38" s="5" t="s">
        <v>652</v>
      </c>
      <c r="B38" s="5" t="s">
        <v>91</v>
      </c>
      <c r="C38" s="1" t="s">
        <v>697</v>
      </c>
      <c r="D38" s="1" t="s">
        <v>698</v>
      </c>
      <c r="E38" s="5"/>
      <c r="F38" s="5"/>
      <c r="G38" s="5" t="s">
        <v>609</v>
      </c>
    </row>
    <row r="39" spans="1:7" x14ac:dyDescent="0.3">
      <c r="A39" s="5" t="s">
        <v>653</v>
      </c>
      <c r="B39" s="5" t="s">
        <v>91</v>
      </c>
      <c r="C39" s="1" t="s">
        <v>93</v>
      </c>
      <c r="D39" s="1" t="s">
        <v>699</v>
      </c>
      <c r="E39" s="5"/>
      <c r="F39" s="5"/>
      <c r="G39" s="5" t="s">
        <v>609</v>
      </c>
    </row>
    <row r="40" spans="1:7" x14ac:dyDescent="0.3">
      <c r="A40" s="5" t="s">
        <v>654</v>
      </c>
      <c r="B40" s="5" t="s">
        <v>94</v>
      </c>
      <c r="C40" s="1" t="s">
        <v>700</v>
      </c>
      <c r="D40" s="1" t="s">
        <v>701</v>
      </c>
      <c r="E40" s="5" t="s">
        <v>609</v>
      </c>
      <c r="F40" s="5"/>
      <c r="G40" s="5"/>
    </row>
    <row r="41" spans="1:7" x14ac:dyDescent="0.3">
      <c r="A41" s="5" t="s">
        <v>655</v>
      </c>
      <c r="B41" s="5" t="s">
        <v>94</v>
      </c>
      <c r="C41" s="1" t="s">
        <v>702</v>
      </c>
      <c r="D41" s="1" t="s">
        <v>703</v>
      </c>
      <c r="E41" s="5" t="s">
        <v>609</v>
      </c>
      <c r="F41" s="5"/>
      <c r="G41" s="5"/>
    </row>
    <row r="42" spans="1:7" x14ac:dyDescent="0.3">
      <c r="A42" s="5" t="s">
        <v>656</v>
      </c>
      <c r="B42" s="5" t="s">
        <v>94</v>
      </c>
      <c r="C42" s="1" t="s">
        <v>704</v>
      </c>
      <c r="D42" s="1" t="s">
        <v>705</v>
      </c>
      <c r="E42" s="5" t="s">
        <v>609</v>
      </c>
      <c r="F42" s="5"/>
      <c r="G42" s="5"/>
    </row>
    <row r="43" spans="1:7" x14ac:dyDescent="0.3">
      <c r="A43" s="5" t="s">
        <v>657</v>
      </c>
      <c r="B43" s="5" t="s">
        <v>96</v>
      </c>
      <c r="C43" s="1" t="s">
        <v>97</v>
      </c>
      <c r="D43" s="1" t="s">
        <v>706</v>
      </c>
      <c r="E43" s="5"/>
      <c r="F43" s="5" t="s">
        <v>609</v>
      </c>
      <c r="G43" s="5"/>
    </row>
    <row r="44" spans="1:7" x14ac:dyDescent="0.3">
      <c r="A44" s="5" t="s">
        <v>658</v>
      </c>
      <c r="B44" s="5" t="s">
        <v>96</v>
      </c>
      <c r="C44" s="1" t="s">
        <v>95</v>
      </c>
      <c r="D44" s="1" t="s">
        <v>707</v>
      </c>
      <c r="E44" s="5" t="s">
        <v>609</v>
      </c>
      <c r="F44" s="5" t="s">
        <v>609</v>
      </c>
      <c r="G44" s="5"/>
    </row>
    <row r="45" spans="1:7" ht="18.600000000000001" customHeight="1" x14ac:dyDescent="0.3">
      <c r="A45" s="5" t="s">
        <v>659</v>
      </c>
      <c r="B45" s="5" t="s">
        <v>96</v>
      </c>
      <c r="C45" s="1" t="s">
        <v>708</v>
      </c>
      <c r="D45" s="1" t="s">
        <v>709</v>
      </c>
      <c r="E45" s="5"/>
      <c r="F45" s="5" t="s">
        <v>609</v>
      </c>
      <c r="G45" s="5"/>
    </row>
    <row r="46" spans="1:7" x14ac:dyDescent="0.3">
      <c r="A46" s="5" t="s">
        <v>660</v>
      </c>
      <c r="B46" s="5" t="s">
        <v>98</v>
      </c>
      <c r="C46" s="1" t="s">
        <v>99</v>
      </c>
      <c r="D46" s="1" t="s">
        <v>673</v>
      </c>
      <c r="E46" s="5"/>
      <c r="F46" s="5"/>
      <c r="G46" s="5" t="s">
        <v>609</v>
      </c>
    </row>
    <row r="47" spans="1:7" x14ac:dyDescent="0.3">
      <c r="A47" s="5" t="s">
        <v>661</v>
      </c>
      <c r="B47" s="5" t="s">
        <v>98</v>
      </c>
      <c r="C47" s="1" t="s">
        <v>100</v>
      </c>
      <c r="D47" s="1" t="s">
        <v>710</v>
      </c>
      <c r="E47" s="5"/>
      <c r="F47" s="5"/>
      <c r="G47" s="5" t="s">
        <v>609</v>
      </c>
    </row>
    <row r="48" spans="1:7" x14ac:dyDescent="0.3">
      <c r="A48" s="5" t="s">
        <v>662</v>
      </c>
      <c r="B48" s="5" t="s">
        <v>98</v>
      </c>
      <c r="C48" s="1" t="s">
        <v>101</v>
      </c>
      <c r="D48" s="1" t="s">
        <v>711</v>
      </c>
      <c r="E48" s="5"/>
      <c r="F48" s="5"/>
      <c r="G48" s="5" t="s">
        <v>609</v>
      </c>
    </row>
    <row r="49" spans="1:7" x14ac:dyDescent="0.3">
      <c r="A49" s="5" t="s">
        <v>663</v>
      </c>
      <c r="B49" s="5" t="s">
        <v>98</v>
      </c>
      <c r="C49" s="1" t="s">
        <v>102</v>
      </c>
      <c r="D49" s="1" t="s">
        <v>673</v>
      </c>
      <c r="E49" s="5"/>
      <c r="F49" s="5"/>
      <c r="G49" s="5" t="s">
        <v>609</v>
      </c>
    </row>
  </sheetData>
  <phoneticPr fontId="4" type="noConversion"/>
  <conditionalFormatting sqref="E8:G49">
    <cfRule type="cellIs" dxfId="1" priority="1" operator="equal">
      <formula>_xlfn.UNICHAR(10006)</formula>
    </cfRule>
    <cfRule type="cellIs" dxfId="0" priority="2" operator="equal">
      <formula>_xlfn.UNICHAR(10004)</formula>
    </cfRule>
  </conditionalFormatting>
  <dataValidations count="2">
    <dataValidation type="list" allowBlank="1" showInputMessage="1" showErrorMessage="1" sqref="B8:B49" xr:uid="{E3AD5878-7406-4602-8493-BE2609CC000D}">
      <formula1>rng\Risk.Areas</formula1>
    </dataValidation>
    <dataValidation type="list" allowBlank="1" showInputMessage="1" showErrorMessage="1" sqref="E8:G49" xr:uid="{9632FECD-08E3-4168-8A25-34D8D45506AF}">
      <formula1>rng\Symbol.OkNo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2AED24-DA41-4928-8813-3AA6EF0A8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8</vt:i4>
      </vt:variant>
    </vt:vector>
  </HeadingPairs>
  <TitlesOfParts>
    <vt:vector size="32" baseType="lpstr">
      <vt:lpstr>Pomoc</vt:lpstr>
      <vt:lpstr>Zgodność</vt:lpstr>
      <vt:lpstr>Dokumenty</vt:lpstr>
      <vt:lpstr>Informacje</vt:lpstr>
      <vt:lpstr>Dziennik</vt:lpstr>
      <vt:lpstr>RCP</vt:lpstr>
      <vt:lpstr>AROD</vt:lpstr>
      <vt:lpstr>RNOD</vt:lpstr>
      <vt:lpstr>KDPIA</vt:lpstr>
      <vt:lpstr>DPIA</vt:lpstr>
      <vt:lpstr>WUDM</vt:lpstr>
      <vt:lpstr>Upoważnienia</vt:lpstr>
      <vt:lpstr>UPOxRCP</vt:lpstr>
      <vt:lpstr>Procesorzy</vt:lpstr>
      <vt:lpstr>PROCxRCP</vt:lpstr>
      <vt:lpstr>Współadministratorzy</vt:lpstr>
      <vt:lpstr>ADMxRCP</vt:lpstr>
      <vt:lpstr>Systemy</vt:lpstr>
      <vt:lpstr>SYSxRCP</vt:lpstr>
      <vt:lpstr>Zabezpieczenia</vt:lpstr>
      <vt:lpstr>Konfiguracja</vt:lpstr>
      <vt:lpstr>Czynności</vt:lpstr>
      <vt:lpstr>Zdarzenia</vt:lpstr>
      <vt:lpstr>Ryzyka</vt:lpstr>
      <vt:lpstr>arr\Dict.Actions</vt:lpstr>
      <vt:lpstr>arr\Dict.Admins</vt:lpstr>
      <vt:lpstr>arr\Dict.Authorizations</vt:lpstr>
      <vt:lpstr>arr\Dict.Documents</vt:lpstr>
      <vt:lpstr>arr\Dict.Processing</vt:lpstr>
      <vt:lpstr>arr\Dict.Processors</vt:lpstr>
      <vt:lpstr>arr\Dict.Systems</vt:lpstr>
      <vt:lpstr>arr\Security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Kowalski</dc:creator>
  <cp:lastModifiedBy>Andrzej Kowalski</cp:lastModifiedBy>
  <dcterms:created xsi:type="dcterms:W3CDTF">2026-09-10T09:24:12Z</dcterms:created>
  <dcterms:modified xsi:type="dcterms:W3CDTF">2026-09-30T17:35:36Z</dcterms:modified>
</cp:coreProperties>
</file>